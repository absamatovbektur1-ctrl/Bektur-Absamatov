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пользоваться" sheetId="1" state="visible" r:id="rId3"/>
    <sheet name="Чек-лист — Бектур" sheetId="2" state="visible" r:id="rId4"/>
    <sheet name="Чек-лист — Юзер 1" sheetId="3" state="visible" r:id="rId5"/>
    <sheet name="Чек-лист — Юзер 2" sheetId="4" state="visible" r:id="rId6"/>
    <sheet name="Чек-лист — Юзер 3" sheetId="5" state="visible" r:id="rId7"/>
    <sheet name="Чек-лист — Юзер 4" sheetId="6" state="visible" r:id="rId8"/>
    <sheet name="Итоги" sheetId="7" state="visible" r:id="rId9"/>
    <sheet name="Созвон" sheetId="8" state="visible" r:id="rId10"/>
    <sheet name="Задания" sheetId="9" state="visible" r:id="rId11"/>
    <sheet name="Цели" sheetId="10" state="visible" r:id="rId12"/>
    <sheet name="Книги и навыки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Строка-пример: перезапиши своими данными.</t>
        </r>
      </text>
    </comment>
    <comment ref="L4" authorId="0">
      <text>
        <r>
          <rPr>
            <sz val="10"/>
            <rFont val="Arial"/>
            <family val="2"/>
          </rPr>
          <t xml:space="preserve">Фокус-блоки, телефон в другой комнате</t>
        </r>
      </text>
    </comment>
    <comment ref="M4" authorId="0">
      <text>
        <r>
          <rPr>
            <sz val="10"/>
            <rFont val="Arial"/>
            <family val="2"/>
          </rPr>
          <t xml:space="preserve">Книга / психология / финансы / новости</t>
        </r>
      </text>
    </comment>
    <comment ref="N4" authorId="0">
      <text>
        <r>
          <rPr>
            <sz val="10"/>
            <rFont val="Arial"/>
            <family val="2"/>
          </rPr>
          <t xml:space="preserve">Подкаст / видео / книга — заметки отправлены</t>
        </r>
      </text>
    </comment>
    <comment ref="O4" authorId="0">
      <text>
        <r>
          <rPr>
            <sz val="10"/>
            <rFont val="Arial"/>
            <family val="2"/>
          </rPr>
          <t xml:space="preserve">1 партия или 5 задач на Lichess / Chess.com</t>
        </r>
      </text>
    </comment>
    <comment ref="P4" authorId="0">
      <text>
        <r>
          <rPr>
            <sz val="10"/>
            <rFont val="Arial"/>
            <family val="2"/>
          </rPr>
          <t xml:space="preserve">Duolingo / Anki / видео с субтитрами</t>
        </r>
      </text>
    </comment>
    <comment ref="Q4" authorId="0">
      <text>
        <r>
          <rPr>
            <sz val="10"/>
            <rFont val="Arial"/>
            <family val="2"/>
          </rPr>
          <t xml:space="preserve">Использовал Claude / ChatGPT для учёбы или проекта</t>
        </r>
      </text>
    </comment>
    <comment ref="R4" authorId="0">
      <text>
        <r>
          <rPr>
            <sz val="10"/>
            <rFont val="Arial"/>
            <family val="2"/>
          </rPr>
          <t xml:space="preserve">Работа над своим проектом или подкастом</t>
        </r>
      </text>
    </comment>
    <comment ref="W4" authorId="0">
      <text>
        <r>
          <rPr>
            <sz val="10"/>
            <rFont val="Arial"/>
            <family val="2"/>
          </rPr>
          <t xml:space="preserve">Помог кому-то</t>
        </r>
      </text>
    </comment>
    <comment ref="X4" authorId="0">
      <text>
        <r>
          <rPr>
            <sz val="10"/>
            <rFont val="Arial"/>
            <family val="2"/>
          </rPr>
          <t xml:space="preserve">Позвонил / помог / уважение</t>
        </r>
      </text>
    </comment>
    <comment ref="Y4" authorId="0">
      <text>
        <r>
          <rPr>
            <sz val="10"/>
            <rFont val="Arial"/>
            <family val="2"/>
          </rPr>
          <t xml:space="preserve">Без бесконечных рилсов и игр</t>
        </r>
      </text>
    </comment>
    <comment ref="Z4" authorId="0">
      <text>
        <r>
          <rPr>
            <sz val="10"/>
            <rFont val="Arial"/>
            <family val="2"/>
          </rPr>
          <t xml:space="preserve">2</t>
        </r>
      </text>
    </comment>
    <comment ref="AA4" authorId="0">
      <text>
        <r>
          <rPr>
            <sz val="10"/>
            <rFont val="Arial"/>
            <family val="2"/>
          </rPr>
          <t xml:space="preserve">20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4" authorId="0">
      <text>
        <r>
          <rPr>
            <sz val="10"/>
            <rFont val="Arial"/>
            <family val="2"/>
          </rPr>
          <t xml:space="preserve">Фокус-блоки, телефон в другой комнате</t>
        </r>
      </text>
    </comment>
    <comment ref="M4" authorId="0">
      <text>
        <r>
          <rPr>
            <sz val="10"/>
            <rFont val="Arial"/>
            <family val="2"/>
          </rPr>
          <t xml:space="preserve">Книга / психология / финансы / новости</t>
        </r>
      </text>
    </comment>
    <comment ref="N4" authorId="0">
      <text>
        <r>
          <rPr>
            <sz val="10"/>
            <rFont val="Arial"/>
            <family val="2"/>
          </rPr>
          <t xml:space="preserve">Подкаст / видео / книга — заметки отправлены</t>
        </r>
      </text>
    </comment>
    <comment ref="O4" authorId="0">
      <text>
        <r>
          <rPr>
            <sz val="10"/>
            <rFont val="Arial"/>
            <family val="2"/>
          </rPr>
          <t xml:space="preserve">1 партия или 5 задач на Lichess / Chess.com</t>
        </r>
      </text>
    </comment>
    <comment ref="P4" authorId="0">
      <text>
        <r>
          <rPr>
            <sz val="10"/>
            <rFont val="Arial"/>
            <family val="2"/>
          </rPr>
          <t xml:space="preserve">Duolingo / Anki / видео с субтитрами</t>
        </r>
      </text>
    </comment>
    <comment ref="Q4" authorId="0">
      <text>
        <r>
          <rPr>
            <sz val="10"/>
            <rFont val="Arial"/>
            <family val="2"/>
          </rPr>
          <t xml:space="preserve">Использовал Claude / ChatGPT для учёбы или проекта</t>
        </r>
      </text>
    </comment>
    <comment ref="R4" authorId="0">
      <text>
        <r>
          <rPr>
            <sz val="10"/>
            <rFont val="Arial"/>
            <family val="2"/>
          </rPr>
          <t xml:space="preserve">Работа над своим проектом или подкастом</t>
        </r>
      </text>
    </comment>
    <comment ref="W4" authorId="0">
      <text>
        <r>
          <rPr>
            <sz val="10"/>
            <rFont val="Arial"/>
            <family val="2"/>
          </rPr>
          <t xml:space="preserve">Помог кому-то</t>
        </r>
      </text>
    </comment>
    <comment ref="X4" authorId="0">
      <text>
        <r>
          <rPr>
            <sz val="10"/>
            <rFont val="Arial"/>
            <family val="2"/>
          </rPr>
          <t xml:space="preserve">Позвонил / помог / уважение</t>
        </r>
      </text>
    </comment>
    <comment ref="Y4" authorId="0">
      <text>
        <r>
          <rPr>
            <sz val="10"/>
            <rFont val="Arial"/>
            <family val="2"/>
          </rPr>
          <t xml:space="preserve">Без бесконечных рилсов и игр</t>
        </r>
      </text>
    </comment>
    <comment ref="Z4" authorId="0">
      <text>
        <r>
          <rPr>
            <sz val="10"/>
            <rFont val="Arial"/>
            <family val="2"/>
          </rPr>
          <t xml:space="preserve">2</t>
        </r>
      </text>
    </comment>
    <comment ref="AA4" authorId="0">
      <text>
        <r>
          <rPr>
            <sz val="10"/>
            <rFont val="Arial"/>
            <family val="2"/>
          </rPr>
          <t xml:space="preserve">20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4" authorId="0">
      <text>
        <r>
          <rPr>
            <sz val="10"/>
            <rFont val="Arial"/>
            <family val="2"/>
          </rPr>
          <t xml:space="preserve">Фокус-блоки, телефон в другой комнате</t>
        </r>
      </text>
    </comment>
    <comment ref="M4" authorId="0">
      <text>
        <r>
          <rPr>
            <sz val="10"/>
            <rFont val="Arial"/>
            <family val="2"/>
          </rPr>
          <t xml:space="preserve">Книга / психология / финансы / новости</t>
        </r>
      </text>
    </comment>
    <comment ref="N4" authorId="0">
      <text>
        <r>
          <rPr>
            <sz val="10"/>
            <rFont val="Arial"/>
            <family val="2"/>
          </rPr>
          <t xml:space="preserve">Подкаст / видео / книга — заметки отправлены</t>
        </r>
      </text>
    </comment>
    <comment ref="O4" authorId="0">
      <text>
        <r>
          <rPr>
            <sz val="10"/>
            <rFont val="Arial"/>
            <family val="2"/>
          </rPr>
          <t xml:space="preserve">1 партия или 5 задач на Lichess / Chess.com</t>
        </r>
      </text>
    </comment>
    <comment ref="P4" authorId="0">
      <text>
        <r>
          <rPr>
            <sz val="10"/>
            <rFont val="Arial"/>
            <family val="2"/>
          </rPr>
          <t xml:space="preserve">Duolingo / Anki / видео с субтитрами</t>
        </r>
      </text>
    </comment>
    <comment ref="Q4" authorId="0">
      <text>
        <r>
          <rPr>
            <sz val="10"/>
            <rFont val="Arial"/>
            <family val="2"/>
          </rPr>
          <t xml:space="preserve">Использовал Claude / ChatGPT для учёбы или проекта</t>
        </r>
      </text>
    </comment>
    <comment ref="R4" authorId="0">
      <text>
        <r>
          <rPr>
            <sz val="10"/>
            <rFont val="Arial"/>
            <family val="2"/>
          </rPr>
          <t xml:space="preserve">Работа над своим проектом или подкастом</t>
        </r>
      </text>
    </comment>
    <comment ref="W4" authorId="0">
      <text>
        <r>
          <rPr>
            <sz val="10"/>
            <rFont val="Arial"/>
            <family val="2"/>
          </rPr>
          <t xml:space="preserve">Помог кому-то</t>
        </r>
      </text>
    </comment>
    <comment ref="X4" authorId="0">
      <text>
        <r>
          <rPr>
            <sz val="10"/>
            <rFont val="Arial"/>
            <family val="2"/>
          </rPr>
          <t xml:space="preserve">Позвонил / помог / уважение</t>
        </r>
      </text>
    </comment>
    <comment ref="Y4" authorId="0">
      <text>
        <r>
          <rPr>
            <sz val="10"/>
            <rFont val="Arial"/>
            <family val="2"/>
          </rPr>
          <t xml:space="preserve">Без бесконечных рилсов и игр</t>
        </r>
      </text>
    </comment>
    <comment ref="Z4" authorId="0">
      <text>
        <r>
          <rPr>
            <sz val="10"/>
            <rFont val="Arial"/>
            <family val="2"/>
          </rPr>
          <t xml:space="preserve">2</t>
        </r>
      </text>
    </comment>
    <comment ref="AA4" authorId="0">
      <text>
        <r>
          <rPr>
            <sz val="10"/>
            <rFont val="Arial"/>
            <family val="2"/>
          </rPr>
          <t xml:space="preserve">20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4" authorId="0">
      <text>
        <r>
          <rPr>
            <sz val="10"/>
            <rFont val="Arial"/>
            <family val="2"/>
          </rPr>
          <t xml:space="preserve">Фокус-блоки, телефон в другой комнате</t>
        </r>
      </text>
    </comment>
    <comment ref="M4" authorId="0">
      <text>
        <r>
          <rPr>
            <sz val="10"/>
            <rFont val="Arial"/>
            <family val="2"/>
          </rPr>
          <t xml:space="preserve">Книга / психология / финансы / новости</t>
        </r>
      </text>
    </comment>
    <comment ref="N4" authorId="0">
      <text>
        <r>
          <rPr>
            <sz val="10"/>
            <rFont val="Arial"/>
            <family val="2"/>
          </rPr>
          <t xml:space="preserve">Подкаст / видео / книга — заметки отправлены</t>
        </r>
      </text>
    </comment>
    <comment ref="O4" authorId="0">
      <text>
        <r>
          <rPr>
            <sz val="10"/>
            <rFont val="Arial"/>
            <family val="2"/>
          </rPr>
          <t xml:space="preserve">1 партия или 5 задач на Lichess / Chess.com</t>
        </r>
      </text>
    </comment>
    <comment ref="P4" authorId="0">
      <text>
        <r>
          <rPr>
            <sz val="10"/>
            <rFont val="Arial"/>
            <family val="2"/>
          </rPr>
          <t xml:space="preserve">Duolingo / Anki / видео с субтитрами</t>
        </r>
      </text>
    </comment>
    <comment ref="Q4" authorId="0">
      <text>
        <r>
          <rPr>
            <sz val="10"/>
            <rFont val="Arial"/>
            <family val="2"/>
          </rPr>
          <t xml:space="preserve">Использовал Claude / ChatGPT для учёбы или проекта</t>
        </r>
      </text>
    </comment>
    <comment ref="R4" authorId="0">
      <text>
        <r>
          <rPr>
            <sz val="10"/>
            <rFont val="Arial"/>
            <family val="2"/>
          </rPr>
          <t xml:space="preserve">Работа над своим проектом или подкастом</t>
        </r>
      </text>
    </comment>
    <comment ref="W4" authorId="0">
      <text>
        <r>
          <rPr>
            <sz val="10"/>
            <rFont val="Arial"/>
            <family val="2"/>
          </rPr>
          <t xml:space="preserve">Помог кому-то</t>
        </r>
      </text>
    </comment>
    <comment ref="X4" authorId="0">
      <text>
        <r>
          <rPr>
            <sz val="10"/>
            <rFont val="Arial"/>
            <family val="2"/>
          </rPr>
          <t xml:space="preserve">Позвонил / помог / уважение</t>
        </r>
      </text>
    </comment>
    <comment ref="Y4" authorId="0">
      <text>
        <r>
          <rPr>
            <sz val="10"/>
            <rFont val="Arial"/>
            <family val="2"/>
          </rPr>
          <t xml:space="preserve">Без бесконечных рилсов и игр</t>
        </r>
      </text>
    </comment>
    <comment ref="Z4" authorId="0">
      <text>
        <r>
          <rPr>
            <sz val="10"/>
            <rFont val="Arial"/>
            <family val="2"/>
          </rPr>
          <t xml:space="preserve">2</t>
        </r>
      </text>
    </comment>
    <comment ref="AA4" authorId="0">
      <text>
        <r>
          <rPr>
            <sz val="10"/>
            <rFont val="Arial"/>
            <family val="2"/>
          </rPr>
          <t xml:space="preserve">20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4" authorId="0">
      <text>
        <r>
          <rPr>
            <sz val="10"/>
            <rFont val="Arial"/>
            <family val="2"/>
          </rPr>
          <t xml:space="preserve">Фокус-блоки, телефон в другой комнате</t>
        </r>
      </text>
    </comment>
    <comment ref="M4" authorId="0">
      <text>
        <r>
          <rPr>
            <sz val="10"/>
            <rFont val="Arial"/>
            <family val="2"/>
          </rPr>
          <t xml:space="preserve">Книга / психология / финансы / новости</t>
        </r>
      </text>
    </comment>
    <comment ref="N4" authorId="0">
      <text>
        <r>
          <rPr>
            <sz val="10"/>
            <rFont val="Arial"/>
            <family val="2"/>
          </rPr>
          <t xml:space="preserve">Подкаст / видео / книга — заметки отправлены</t>
        </r>
      </text>
    </comment>
    <comment ref="O4" authorId="0">
      <text>
        <r>
          <rPr>
            <sz val="10"/>
            <rFont val="Arial"/>
            <family val="2"/>
          </rPr>
          <t xml:space="preserve">1 партия или 5 задач на Lichess / Chess.com</t>
        </r>
      </text>
    </comment>
    <comment ref="P4" authorId="0">
      <text>
        <r>
          <rPr>
            <sz val="10"/>
            <rFont val="Arial"/>
            <family val="2"/>
          </rPr>
          <t xml:space="preserve">Duolingo / Anki / видео с субтитрами</t>
        </r>
      </text>
    </comment>
    <comment ref="Q4" authorId="0">
      <text>
        <r>
          <rPr>
            <sz val="10"/>
            <rFont val="Arial"/>
            <family val="2"/>
          </rPr>
          <t xml:space="preserve">Использовал Claude / ChatGPT для учёбы или проекта</t>
        </r>
      </text>
    </comment>
    <comment ref="R4" authorId="0">
      <text>
        <r>
          <rPr>
            <sz val="10"/>
            <rFont val="Arial"/>
            <family val="2"/>
          </rPr>
          <t xml:space="preserve">Работа над своим проектом или подкастом</t>
        </r>
      </text>
    </comment>
    <comment ref="W4" authorId="0">
      <text>
        <r>
          <rPr>
            <sz val="10"/>
            <rFont val="Arial"/>
            <family val="2"/>
          </rPr>
          <t xml:space="preserve">Помог кому-то</t>
        </r>
      </text>
    </comment>
    <comment ref="X4" authorId="0">
      <text>
        <r>
          <rPr>
            <sz val="10"/>
            <rFont val="Arial"/>
            <family val="2"/>
          </rPr>
          <t xml:space="preserve">Позвонил / помог / уважение</t>
        </r>
      </text>
    </comment>
    <comment ref="Y4" authorId="0">
      <text>
        <r>
          <rPr>
            <sz val="10"/>
            <rFont val="Arial"/>
            <family val="2"/>
          </rPr>
          <t xml:space="preserve">Без бесконечных рилсов и игр</t>
        </r>
      </text>
    </comment>
    <comment ref="Z4" authorId="0">
      <text>
        <r>
          <rPr>
            <sz val="10"/>
            <rFont val="Arial"/>
            <family val="2"/>
          </rPr>
          <t xml:space="preserve">2</t>
        </r>
      </text>
    </comment>
    <comment ref="AA4" authorId="0">
      <text>
        <r>
          <rPr>
            <sz val="10"/>
            <rFont val="Arial"/>
            <family val="2"/>
          </rPr>
          <t xml:space="preserve">20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Пример — замени на свою цель.</t>
        </r>
      </text>
    </comment>
  </commentList>
</comments>
</file>

<file path=xl/sharedStrings.xml><?xml version="1.0" encoding="utf-8"?>
<sst xmlns="http://schemas.openxmlformats.org/spreadsheetml/2006/main" count="810" uniqueCount="232">
  <si>
    <t xml:space="preserve">🧱 НАША СИСТЕМА — команда</t>
  </si>
  <si>
    <t xml:space="preserve">ОСНОВА</t>
  </si>
  <si>
    <t xml:space="preserve">Ислам — фундамент · Дисциплина &gt; настроение · Каждый день рост · Команда = контроль</t>
  </si>
  <si>
    <t xml:space="preserve">КАЖДЫЙ ДЕНЬ</t>
  </si>
  <si>
    <t xml:space="preserve">1. Открываешь свой лист «Чек-лист — …», ставишь ✅/❌ по каждому пункту.</t>
  </si>
  <si>
    <t xml:space="preserve">2. Вписываешь часы учёбы и страницы книги — клетка станет зелёной, если норма выполнена (2 ч и 20 стр.).</t>
  </si>
  <si>
    <t xml:space="preserve">3. Вечером 3 строки самоконтроля: что сделал хорошо, где был слаб, что исправлю.</t>
  </si>
  <si>
    <t xml:space="preserve">ЗАДАНИЯ</t>
  </si>
  <si>
    <t xml:space="preserve">Лист «Задания»: что задал Бектур. Сделал → заметки по шаблону и скрин Бектуру. Шаблон: 1) Название и кто говорит  2) 3–5 главных мыслей своими словами  3) Цитата, которая зацепила  4) Что применю завтра  5) Вопрос / с чем не согласен</t>
  </si>
  <si>
    <t xml:space="preserve">КАЖДОЕ ВОСКРЕСЕНЬЕ</t>
  </si>
  <si>
    <t xml:space="preserve">Созвон 45–60 мин по листу «Созвон»: отчёт → ошибки → тема по исламу → план. Лист «Итоги» сам покажет средний % за неделю у каждого. У кого % выше — тот выбирает тему или книгу на следующую неделю.</t>
  </si>
  <si>
    <t xml:space="preserve">ТЕМЫ ПО КРУГУ</t>
  </si>
  <si>
    <t xml:space="preserve">Намаз → Ният → Сабр → Таваккуль → Тауба → Ахляк → Ихсан (уже расставлены по датам).</t>
  </si>
  <si>
    <t xml:space="preserve">ПРАВИЛО ЧЕСТНОСТИ</t>
  </si>
  <si>
    <t xml:space="preserve">Не ставим ✅ за то, что не сделали. Пропустил — ❌ и пишешь почему. Если кто-то расслабился — возвращаем, без обид.</t>
  </si>
  <si>
    <t xml:space="preserve">ЗАПРЕТЫ</t>
  </si>
  <si>
    <t xml:space="preserve">Пропуск намаза · Лень · Пустая трата времени · Слабость характера · Окружение, которое тянет вниз</t>
  </si>
  <si>
    <t xml:space="preserve">⚡ Мы не просто живём — мы себя строим. Имя на листе можно переименовать (правый клик по вкладке) — но тогда формулы в «Итогах» обновятся сами.</t>
  </si>
  <si>
    <t xml:space="preserve">Жёлтые клетки — вписываешь ты. Серые и белые — считаются сами, не трогай.</t>
  </si>
  <si>
    <t xml:space="preserve">Ежедневный чек-лист — Бектур</t>
  </si>
  <si>
    <t xml:space="preserve">Ставь ✅ или ❌ в жёлтых клетках (выпадающий список). Числа — вписывай. % дня считается сам.</t>
  </si>
  <si>
    <t xml:space="preserve">Дата</t>
  </si>
  <si>
    <t xml:space="preserve">Неделя</t>
  </si>
  <si>
    <t xml:space="preserve">День</t>
  </si>
  <si>
    <t xml:space="preserve">Фаджр</t>
  </si>
  <si>
    <t xml:space="preserve">Зухр</t>
  </si>
  <si>
    <t xml:space="preserve">Аср</t>
  </si>
  <si>
    <t xml:space="preserve">Магриб</t>
  </si>
  <si>
    <t xml:space="preserve">Иша</t>
  </si>
  <si>
    <t xml:space="preserve">Коран 10–15 мин</t>
  </si>
  <si>
    <t xml:space="preserve">Зикр</t>
  </si>
  <si>
    <t xml:space="preserve">Без харама</t>
  </si>
  <si>
    <t xml:space="preserve">Учёба / уроки без телефона</t>
  </si>
  <si>
    <t xml:space="preserve">Развитие 30–60 мин</t>
  </si>
  <si>
    <t xml:space="preserve">Задание от Бектура</t>
  </si>
  <si>
    <t xml:space="preserve">Шахматы</t>
  </si>
  <si>
    <t xml:space="preserve">Английский 20 мин</t>
  </si>
  <si>
    <t xml:space="preserve">ИИ-инструменты</t>
  </si>
  <si>
    <t xml:space="preserve">Проект / подкаст</t>
  </si>
  <si>
    <t xml:space="preserve">Спорт / активность</t>
  </si>
  <si>
    <t xml:space="preserve">Вода 2 л</t>
  </si>
  <si>
    <t xml:space="preserve">Нормальное питание</t>
  </si>
  <si>
    <t xml:space="preserve">Сон 6–8 ч</t>
  </si>
  <si>
    <t xml:space="preserve">Доброе дело</t>
  </si>
  <si>
    <t xml:space="preserve">Родители</t>
  </si>
  <si>
    <t xml:space="preserve">Без пустой траты времени</t>
  </si>
  <si>
    <t xml:space="preserve">Часов учёбы</t>
  </si>
  <si>
    <t xml:space="preserve">Страниц книги</t>
  </si>
  <si>
    <t xml:space="preserve">% дня</t>
  </si>
  <si>
    <t xml:space="preserve">Что сделал хорошо</t>
  </si>
  <si>
    <t xml:space="preserve">Где был слаб</t>
  </si>
  <si>
    <t xml:space="preserve">Что исправлю завтра</t>
  </si>
  <si>
    <t xml:space="preserve">Вс</t>
  </si>
  <si>
    <t xml:space="preserve">✅</t>
  </si>
  <si>
    <t xml:space="preserve">❌</t>
  </si>
  <si>
    <t xml:space="preserve">Все 5 намазов вовремя, 3 часа учёбы</t>
  </si>
  <si>
    <t xml:space="preserve">Мало воды</t>
  </si>
  <si>
    <t xml:space="preserve">Бутылку воды на стол с утра</t>
  </si>
  <si>
    <t xml:space="preserve">Пн</t>
  </si>
  <si>
    <t xml:space="preserve">Вт</t>
  </si>
  <si>
    <t xml:space="preserve">Ср</t>
  </si>
  <si>
    <t xml:space="preserve">Чт</t>
  </si>
  <si>
    <t xml:space="preserve">Пт</t>
  </si>
  <si>
    <t xml:space="preserve">Сб</t>
  </si>
  <si>
    <t xml:space="preserve">Ежедневный чек-лист — Юзер 1</t>
  </si>
  <si>
    <t xml:space="preserve">Ежедневный чек-лист — Юзер 2</t>
  </si>
  <si>
    <t xml:space="preserve">Ежедневный чек-лист — Юзер 3</t>
  </si>
  <si>
    <t xml:space="preserve">Ежедневный чек-лист — Юзер 4</t>
  </si>
  <si>
    <t xml:space="preserve">Итоги по неделям</t>
  </si>
  <si>
    <t xml:space="preserve">Считается автоматически из чек-листов. Смотрим вместе на созвоне.</t>
  </si>
  <si>
    <t xml:space="preserve">С</t>
  </si>
  <si>
    <t xml:space="preserve">По</t>
  </si>
  <si>
    <t xml:space="preserve">Бектур: средний %</t>
  </si>
  <si>
    <t xml:space="preserve">Бектур: намазов из 35</t>
  </si>
  <si>
    <t xml:space="preserve">Бектур: часов учёбы</t>
  </si>
  <si>
    <t xml:space="preserve">Бектур: страниц книги</t>
  </si>
  <si>
    <t xml:space="preserve">Юзер 1: средний %</t>
  </si>
  <si>
    <t xml:space="preserve">Юзер 1: намазов из 35</t>
  </si>
  <si>
    <t xml:space="preserve">Юзер 1: часов учёбы</t>
  </si>
  <si>
    <t xml:space="preserve">Юзер 1: страниц книги</t>
  </si>
  <si>
    <t xml:space="preserve">Юзер 2: средний %</t>
  </si>
  <si>
    <t xml:space="preserve">Юзер 2: намазов из 35</t>
  </si>
  <si>
    <t xml:space="preserve">Юзер 2: часов учёбы</t>
  </si>
  <si>
    <t xml:space="preserve">Юзер 2: страниц книги</t>
  </si>
  <si>
    <t xml:space="preserve">Юзер 3: средний %</t>
  </si>
  <si>
    <t xml:space="preserve">Юзер 3: намазов из 35</t>
  </si>
  <si>
    <t xml:space="preserve">Юзер 3: часов учёбы</t>
  </si>
  <si>
    <t xml:space="preserve">Юзер 3: страниц книги</t>
  </si>
  <si>
    <t xml:space="preserve">Юзер 4: средний %</t>
  </si>
  <si>
    <t xml:space="preserve">Юзер 4: намазов из 35</t>
  </si>
  <si>
    <t xml:space="preserve">Юзер 4: часов учёбы</t>
  </si>
  <si>
    <t xml:space="preserve">Юзер 4: страниц книги</t>
  </si>
  <si>
    <t xml:space="preserve">Еженедельный созвон — воскресенье, 45–60 мин</t>
  </si>
  <si>
    <t xml:space="preserve">1) Отчёт каждого (учёба, намаз, спорт, развитие)  2) Ошибки  3) Тема по исламу  4) План на неделю</t>
  </si>
  <si>
    <t xml:space="preserve">№</t>
  </si>
  <si>
    <t xml:space="preserve">Дата (Вс)</t>
  </si>
  <si>
    <t xml:space="preserve">Тема по исламу</t>
  </si>
  <si>
    <t xml:space="preserve">Отчёт: Бектур</t>
  </si>
  <si>
    <t xml:space="preserve">Отчёт: Юзер 1</t>
  </si>
  <si>
    <t xml:space="preserve">Отчёт: Юзер 2</t>
  </si>
  <si>
    <t xml:space="preserve">Отчёт: Юзер 3</t>
  </si>
  <si>
    <t xml:space="preserve">Отчёт: Юзер 4</t>
  </si>
  <si>
    <t xml:space="preserve">Ошибки / где были слабы</t>
  </si>
  <si>
    <t xml:space="preserve">Вывод по теме: как применить</t>
  </si>
  <si>
    <t xml:space="preserve">План на неделю</t>
  </si>
  <si>
    <t xml:space="preserve">Созвон был?</t>
  </si>
  <si>
    <t xml:space="preserve">Намаз</t>
  </si>
  <si>
    <t xml:space="preserve">Ният</t>
  </si>
  <si>
    <t xml:space="preserve">Сабр</t>
  </si>
  <si>
    <t xml:space="preserve">Таваккуль</t>
  </si>
  <si>
    <t xml:space="preserve">Тауба</t>
  </si>
  <si>
    <t xml:space="preserve">Ахляк</t>
  </si>
  <si>
    <t xml:space="preserve">Ихсан</t>
  </si>
  <si>
    <t xml:space="preserve">Задания от Бектура</t>
  </si>
  <si>
    <t xml:space="preserve">Бектур заполняет A–E и I–J, исполнитель — F–H и отправляет скрин заметок.</t>
  </si>
  <si>
    <t xml:space="preserve">Кому</t>
  </si>
  <si>
    <t xml:space="preserve">Задание</t>
  </si>
  <si>
    <t xml:space="preserve">Ссылка / книга</t>
  </si>
  <si>
    <t xml:space="preserve">Срок</t>
  </si>
  <si>
    <t xml:space="preserve">Заметки (главные мысли)</t>
  </si>
  <si>
    <t xml:space="preserve">Что применит</t>
  </si>
  <si>
    <t xml:space="preserve">Сдал?</t>
  </si>
  <si>
    <t xml:space="preserve">Отзыв Бектура</t>
  </si>
  <si>
    <t xml:space="preserve">Оценка 1–5</t>
  </si>
  <si>
    <t xml:space="preserve">Юзер 2</t>
  </si>
  <si>
    <t xml:space="preserve">Посмотреть подкаст и выписать заметки по шаблону</t>
  </si>
  <si>
    <t xml:space="preserve">ссылку скинет Бектур</t>
  </si>
  <si>
    <t xml:space="preserve">Все</t>
  </si>
  <si>
    <t xml:space="preserve">«Атомные привычки» — гл. 1–2, 3 главные мысли</t>
  </si>
  <si>
    <t xml:space="preserve">Джеймс Клир</t>
  </si>
  <si>
    <t xml:space="preserve">Выучить суру Аль-Аср и её смысл, рассказать своими словами</t>
  </si>
  <si>
    <t xml:space="preserve">Коран + тафсир</t>
  </si>
  <si>
    <t xml:space="preserve">Подкаст про сон и фокус — что поменяю в режиме</t>
  </si>
  <si>
    <t xml:space="preserve">Huberman Lab (с субтитрами)</t>
  </si>
  <si>
    <t xml:space="preserve">Записать свои цели на месяц и год (лист «Цели»)</t>
  </si>
  <si>
    <t xml:space="preserve">—</t>
  </si>
  <si>
    <t xml:space="preserve">Рисале-и Нур: одно из «Малых слов» — пересказ 5 предложений</t>
  </si>
  <si>
    <t xml:space="preserve">Саид Нурси, «Сөзлер»</t>
  </si>
  <si>
    <t xml:space="preserve">Сыграть друг с другом партию в шахматы онлайн</t>
  </si>
  <si>
    <t xml:space="preserve">Lichess.org</t>
  </si>
  <si>
    <t xml:space="preserve">Видео 1 мин на английском: что узнал за неделю</t>
  </si>
  <si>
    <t xml:space="preserve">камера телефона</t>
  </si>
  <si>
    <t xml:space="preserve">Сдано заданий:</t>
  </si>
  <si>
    <t xml:space="preserve">Средняя оценка:</t>
  </si>
  <si>
    <t xml:space="preserve">Цели</t>
  </si>
  <si>
    <t xml:space="preserve">Месяц — 3 конкретные цели. Год — 3–5 больших. Цель = что + сколько + к какому числу.</t>
  </si>
  <si>
    <t xml:space="preserve">Кто</t>
  </si>
  <si>
    <t xml:space="preserve">Сфера</t>
  </si>
  <si>
    <t xml:space="preserve">Цель (конкретно, измеримо)</t>
  </si>
  <si>
    <t xml:space="preserve">Первый шаг</t>
  </si>
  <si>
    <t xml:space="preserve">Статус</t>
  </si>
  <si>
    <t xml:space="preserve">Бектур</t>
  </si>
  <si>
    <t xml:space="preserve">Месяц</t>
  </si>
  <si>
    <t xml:space="preserve">Развитие</t>
  </si>
  <si>
    <t xml:space="preserve">Прочитать 600 страниц за ноябрь (20 стр/день)</t>
  </si>
  <si>
    <t xml:space="preserve">Сегодня 20 стр. «Сөзлер» после Иша</t>
  </si>
  <si>
    <t xml:space="preserve">В процессе</t>
  </si>
  <si>
    <t xml:space="preserve">Год</t>
  </si>
  <si>
    <t xml:space="preserve">Юзер 1</t>
  </si>
  <si>
    <t xml:space="preserve">Юзер 3</t>
  </si>
  <si>
    <t xml:space="preserve">Юзер 4</t>
  </si>
  <si>
    <t xml:space="preserve">Книги, подкасты, навыки</t>
  </si>
  <si>
    <t xml:space="preserve">Отмечай, кто что начал / закончил. Новые идеи добавляем сюда.</t>
  </si>
  <si>
    <t xml:space="preserve">Категория</t>
  </si>
  <si>
    <t xml:space="preserve">Название</t>
  </si>
  <si>
    <t xml:space="preserve">Автор / где</t>
  </si>
  <si>
    <t xml:space="preserve">Зачем</t>
  </si>
  <si>
    <t xml:space="preserve">Формат</t>
  </si>
  <si>
    <t xml:space="preserve">Заметки</t>
  </si>
  <si>
    <t xml:space="preserve">Религия</t>
  </si>
  <si>
    <t xml:space="preserve">Рисале-и Нур: «Сөзлер» (Слова)</t>
  </si>
  <si>
    <t xml:space="preserve">Саид Нурси</t>
  </si>
  <si>
    <t xml:space="preserve">Вера через размышление; начать с «Малых слов» и 23-го Слова</t>
  </si>
  <si>
    <t xml:space="preserve">Книга</t>
  </si>
  <si>
    <t xml:space="preserve">Рисале-и Нур: «Лемалар» (Вспышки)</t>
  </si>
  <si>
    <t xml:space="preserve">Сабр, болезнь, тауба — прямо к темам созвонов</t>
  </si>
  <si>
    <t xml:space="preserve">«Изумрудные холмы сердца»</t>
  </si>
  <si>
    <t xml:space="preserve">Фетхуллах Гюлен</t>
  </si>
  <si>
    <t xml:space="preserve">Ихсан, ахляк, духовная работа над собой</t>
  </si>
  <si>
    <t xml:space="preserve">«Вечный свет: Пророк Мухаммад ﷺ»</t>
  </si>
  <si>
    <t xml:space="preserve">Сира — пример характера и лидерства</t>
  </si>
  <si>
    <t xml:space="preserve">Тафсир по 1 странице в день</t>
  </si>
  <si>
    <t xml:space="preserve">любой надёжный тафсир</t>
  </si>
  <si>
    <t xml:space="preserve">Понимать то, что читаешь в Коране</t>
  </si>
  <si>
    <t xml:space="preserve">Мышление</t>
  </si>
  <si>
    <t xml:space="preserve">«Атомные привычки»</t>
  </si>
  <si>
    <t xml:space="preserve">Как держать дисциплину — основа всей этой системы</t>
  </si>
  <si>
    <t xml:space="preserve">«Человек в поисках смысла»</t>
  </si>
  <si>
    <t xml:space="preserve">Виктор Франкл</t>
  </si>
  <si>
    <t xml:space="preserve">Сабр и смысл в трудности</t>
  </si>
  <si>
    <t xml:space="preserve">«Думай медленно… решай быстро»</t>
  </si>
  <si>
    <t xml:space="preserve">Даниэль Канеман</t>
  </si>
  <si>
    <t xml:space="preserve">Как мозг ошибается</t>
  </si>
  <si>
    <t xml:space="preserve">Учёба</t>
  </si>
  <si>
    <t xml:space="preserve">«Глубокая работа»</t>
  </si>
  <si>
    <t xml:space="preserve">Кэл Ньюпорт</t>
  </si>
  <si>
    <t xml:space="preserve">Фокус 2–4 часа без телефона</t>
  </si>
  <si>
    <t xml:space="preserve">Финансы</t>
  </si>
  <si>
    <t xml:space="preserve">«Самый богатый человек в Вавилоне»</t>
  </si>
  <si>
    <t xml:space="preserve">Джордж Клейсон</t>
  </si>
  <si>
    <t xml:space="preserve">База: копить, не тратить всё, приумножать</t>
  </si>
  <si>
    <t xml:space="preserve">«Богатый папа, бедный папа»</t>
  </si>
  <si>
    <t xml:space="preserve">Роберт Кийосаки</t>
  </si>
  <si>
    <t xml:space="preserve">Активы vs пассивы</t>
  </si>
  <si>
    <t xml:space="preserve">Характер</t>
  </si>
  <si>
    <t xml:space="preserve">«Как завоёвывать друзей…»</t>
  </si>
  <si>
    <t xml:space="preserve">Дейл Карнеги</t>
  </si>
  <si>
    <t xml:space="preserve">Общение, уважение, добрые слова</t>
  </si>
  <si>
    <t xml:space="preserve">Подкаст</t>
  </si>
  <si>
    <t xml:space="preserve">Huberman Lab</t>
  </si>
  <si>
    <t xml:space="preserve">YouTube / Spotify</t>
  </si>
  <si>
    <t xml:space="preserve">Сон, спорт, фокус — по науке (англ., с субтитрами)</t>
  </si>
  <si>
    <t xml:space="preserve">The Diary of a CEO</t>
  </si>
  <si>
    <t xml:space="preserve">YouTube</t>
  </si>
  <si>
    <t xml:space="preserve">Истории людей, бизнес, дисциплина (англ.)</t>
  </si>
  <si>
    <t xml:space="preserve">Навык</t>
  </si>
  <si>
    <t xml:space="preserve">Английский: 20 мин в день</t>
  </si>
  <si>
    <t xml:space="preserve">Duolingo / Anki / сериалы</t>
  </si>
  <si>
    <t xml:space="preserve">Доступ ко всем знаниям мира</t>
  </si>
  <si>
    <t xml:space="preserve">Публичные выступления</t>
  </si>
  <si>
    <t xml:space="preserve">запись себя на 2 мин/день</t>
  </si>
  <si>
    <t xml:space="preserve">Уверенность, подкаст, блог</t>
  </si>
  <si>
    <t xml:space="preserve">ИИ-инструменты (Claude, ChatGPT)</t>
  </si>
  <si>
    <t xml:space="preserve">практика на учёбе и проектах</t>
  </si>
  <si>
    <t xml:space="preserve">Делать за час то, что другие за день</t>
  </si>
  <si>
    <t xml:space="preserve">Excel / Google Таблицы</t>
  </si>
  <si>
    <t xml:space="preserve">YouTube-курсы</t>
  </si>
  <si>
    <t xml:space="preserve">Нужен в любой работе</t>
  </si>
  <si>
    <t xml:space="preserve">Игра</t>
  </si>
  <si>
    <t xml:space="preserve">Шахматы: 1 партия/задача в день</t>
  </si>
  <si>
    <t xml:space="preserve">Chess.com / Lichess</t>
  </si>
  <si>
    <t xml:space="preserve">Мышление на шаги вперёд, можно играть друг с другом онлайн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</si>
</sst>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"/>
    <numFmt numFmtId="166" formatCode="General"/>
    <numFmt numFmtId="167" formatCode="0%"/>
    <numFmt numFmtId="168" formatCode="dd\.mm\.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1F6F4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6F4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7D6"/>
        <bgColor rgb="FFF2F2F2"/>
      </patternFill>
    </fill>
    <fill>
      <patternFill patternType="solid">
        <fgColor rgb="FF1F6F4A"/>
        <bgColor rgb="FF008080"/>
      </patternFill>
    </fill>
    <fill>
      <patternFill patternType="solid">
        <fgColor rgb="FFF2F2F2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A"/>
      <rgbColor rgb="FFC0C0C0"/>
      <rgbColor rgb="FF7F7F7F"/>
      <rgbColor rgb="FF9999FF"/>
      <rgbColor rgb="FF993366"/>
      <rgbColor rgb="FFFFF7D6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1.5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2" t="s">
        <v>7</v>
      </c>
    </row>
    <row r="10" customFormat="false" ht="39.5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26.8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3" t="s">
        <v>12</v>
      </c>
    </row>
    <row r="15" customFormat="false" ht="15" hidden="false" customHeight="false" outlineLevel="0" collapsed="false">
      <c r="A15" s="2" t="s">
        <v>13</v>
      </c>
    </row>
    <row r="16" customFormat="false" ht="26.85" hidden="false" customHeight="false" outlineLevel="0" collapsed="false">
      <c r="A16" s="3" t="s">
        <v>14</v>
      </c>
    </row>
    <row r="17" customFormat="false" ht="15" hidden="false" customHeight="false" outlineLevel="0" collapsed="false">
      <c r="A17" s="2" t="s">
        <v>15</v>
      </c>
    </row>
    <row r="18" customFormat="false" ht="15" hidden="false" customHeight="false" outlineLevel="0" collapsed="false">
      <c r="A18" s="3" t="s">
        <v>16</v>
      </c>
    </row>
    <row r="19" customFormat="false" ht="26.85" hidden="false" customHeight="false" outlineLevel="0" collapsed="false">
      <c r="A19" s="2" t="s">
        <v>17</v>
      </c>
    </row>
    <row r="21" customFormat="false" ht="15" hidden="false" customHeight="false" outlineLevel="0" collapsed="false">
      <c r="A21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27" min="4" style="0" width="9"/>
    <col collapsed="false" customWidth="true" hidden="false" outlineLevel="0" max="28" min="28" style="0" width="8"/>
    <col collapsed="false" customWidth="true" hidden="false" outlineLevel="0" max="31" min="29" style="0" width="30"/>
  </cols>
  <sheetData>
    <row r="1" customFormat="false" ht="27.75" hidden="false" customHeight="true" outlineLevel="0" collapsed="false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customFormat="false" ht="15" hidden="false" customHeight="false" outlineLevel="0" collapsed="false">
      <c r="A2" s="6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4" customFormat="false" ht="42" hidden="false" customHeight="true" outlineLevel="0" collapsed="false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32</v>
      </c>
      <c r="M4" s="7" t="s">
        <v>33</v>
      </c>
      <c r="N4" s="7" t="s">
        <v>34</v>
      </c>
      <c r="O4" s="7" t="s">
        <v>35</v>
      </c>
      <c r="P4" s="7" t="s">
        <v>36</v>
      </c>
      <c r="Q4" s="7" t="s">
        <v>37</v>
      </c>
      <c r="R4" s="7" t="s">
        <v>38</v>
      </c>
      <c r="S4" s="7" t="s">
        <v>39</v>
      </c>
      <c r="T4" s="7" t="s">
        <v>40</v>
      </c>
      <c r="U4" s="7" t="s">
        <v>41</v>
      </c>
      <c r="V4" s="7" t="s">
        <v>42</v>
      </c>
      <c r="W4" s="7" t="s">
        <v>43</v>
      </c>
      <c r="X4" s="7" t="s">
        <v>44</v>
      </c>
      <c r="Y4" s="7" t="s">
        <v>45</v>
      </c>
      <c r="Z4" s="7" t="s">
        <v>46</v>
      </c>
      <c r="AA4" s="7" t="s">
        <v>47</v>
      </c>
      <c r="AB4" s="7" t="s">
        <v>48</v>
      </c>
      <c r="AC4" s="7" t="s">
        <v>49</v>
      </c>
      <c r="AD4" s="7" t="s">
        <v>50</v>
      </c>
      <c r="AE4" s="7" t="s">
        <v>51</v>
      </c>
    </row>
    <row r="5" customFormat="false" ht="23.85" hidden="false" customHeight="false" outlineLevel="0" collapsed="false">
      <c r="A5" s="8" t="n">
        <v>46327</v>
      </c>
      <c r="B5" s="9" t="n">
        <f aca="false">INT((A5-$A$5)/7)+1</f>
        <v>1</v>
      </c>
      <c r="C5" s="9" t="s">
        <v>52</v>
      </c>
      <c r="D5" s="10" t="s">
        <v>53</v>
      </c>
      <c r="E5" s="10" t="s">
        <v>53</v>
      </c>
      <c r="F5" s="10" t="s">
        <v>53</v>
      </c>
      <c r="G5" s="10" t="s">
        <v>53</v>
      </c>
      <c r="H5" s="10" t="s">
        <v>53</v>
      </c>
      <c r="I5" s="10" t="s">
        <v>53</v>
      </c>
      <c r="J5" s="10" t="s">
        <v>53</v>
      </c>
      <c r="K5" s="10" t="s">
        <v>53</v>
      </c>
      <c r="L5" s="10" t="s">
        <v>53</v>
      </c>
      <c r="M5" s="10" t="s">
        <v>53</v>
      </c>
      <c r="N5" s="10" t="s">
        <v>53</v>
      </c>
      <c r="O5" s="10" t="s">
        <v>53</v>
      </c>
      <c r="P5" s="10" t="s">
        <v>53</v>
      </c>
      <c r="Q5" s="10" t="s">
        <v>53</v>
      </c>
      <c r="R5" s="10" t="s">
        <v>53</v>
      </c>
      <c r="S5" s="10" t="s">
        <v>53</v>
      </c>
      <c r="T5" s="10" t="s">
        <v>54</v>
      </c>
      <c r="U5" s="10" t="s">
        <v>53</v>
      </c>
      <c r="V5" s="10" t="s">
        <v>53</v>
      </c>
      <c r="W5" s="10" t="s">
        <v>53</v>
      </c>
      <c r="X5" s="10" t="s">
        <v>53</v>
      </c>
      <c r="Y5" s="10" t="s">
        <v>53</v>
      </c>
      <c r="Z5" s="10" t="n">
        <v>3</v>
      </c>
      <c r="AA5" s="10" t="n">
        <v>25</v>
      </c>
      <c r="AB5" s="11" t="n">
        <f aca="false">IF(COUNTA(D5:Y5)=0,"",COUNTIF(D5:Y5,"✅")/22)</f>
        <v>0.954545454545455</v>
      </c>
      <c r="AC5" s="12" t="s">
        <v>55</v>
      </c>
      <c r="AD5" s="12" t="s">
        <v>56</v>
      </c>
      <c r="AE5" s="12" t="s">
        <v>57</v>
      </c>
    </row>
    <row r="6" customFormat="false" ht="15" hidden="false" customHeight="false" outlineLevel="0" collapsed="false">
      <c r="A6" s="13" t="n">
        <v>46328</v>
      </c>
      <c r="B6" s="14" t="n">
        <f aca="false">INT((A6-$A$5)/7)+1</f>
        <v>1</v>
      </c>
      <c r="C6" s="14" t="s">
        <v>58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 t="str">
        <f aca="false">IF(COUNTA(D6:Y6)=0,"",COUNTIF(D6:Y6,"✅")/22)</f>
        <v/>
      </c>
      <c r="AC6" s="12"/>
      <c r="AD6" s="12"/>
      <c r="AE6" s="12"/>
    </row>
    <row r="7" customFormat="false" ht="15" hidden="false" customHeight="false" outlineLevel="0" collapsed="false">
      <c r="A7" s="13" t="n">
        <v>46329</v>
      </c>
      <c r="B7" s="14" t="n">
        <f aca="false">INT((A7-$A$5)/7)+1</f>
        <v>1</v>
      </c>
      <c r="C7" s="14" t="s">
        <v>59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 t="str">
        <f aca="false">IF(COUNTA(D7:Y7)=0,"",COUNTIF(D7:Y7,"✅")/22)</f>
        <v/>
      </c>
      <c r="AC7" s="12"/>
      <c r="AD7" s="12"/>
      <c r="AE7" s="12"/>
    </row>
    <row r="8" customFormat="false" ht="15" hidden="false" customHeight="false" outlineLevel="0" collapsed="false">
      <c r="A8" s="13" t="n">
        <v>46330</v>
      </c>
      <c r="B8" s="14" t="n">
        <f aca="false">INT((A8-$A$5)/7)+1</f>
        <v>1</v>
      </c>
      <c r="C8" s="14" t="s">
        <v>60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 t="str">
        <f aca="false">IF(COUNTA(D8:Y8)=0,"",COUNTIF(D8:Y8,"✅")/22)</f>
        <v/>
      </c>
      <c r="AC8" s="12"/>
      <c r="AD8" s="12"/>
      <c r="AE8" s="12"/>
    </row>
    <row r="9" customFormat="false" ht="15" hidden="false" customHeight="false" outlineLevel="0" collapsed="false">
      <c r="A9" s="13" t="n">
        <v>46331</v>
      </c>
      <c r="B9" s="14" t="n">
        <f aca="false">INT((A9-$A$5)/7)+1</f>
        <v>1</v>
      </c>
      <c r="C9" s="14" t="s">
        <v>61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 t="str">
        <f aca="false">IF(COUNTA(D9:Y9)=0,"",COUNTIF(D9:Y9,"✅")/22)</f>
        <v/>
      </c>
      <c r="AC9" s="12"/>
      <c r="AD9" s="12"/>
      <c r="AE9" s="12"/>
    </row>
    <row r="10" customFormat="false" ht="15" hidden="false" customHeight="false" outlineLevel="0" collapsed="false">
      <c r="A10" s="13" t="n">
        <v>46332</v>
      </c>
      <c r="B10" s="14" t="n">
        <f aca="false">INT((A10-$A$5)/7)+1</f>
        <v>1</v>
      </c>
      <c r="C10" s="14" t="s">
        <v>62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 t="str">
        <f aca="false">IF(COUNTA(D10:Y10)=0,"",COUNTIF(D10:Y10,"✅")/22)</f>
        <v/>
      </c>
      <c r="AC10" s="12"/>
      <c r="AD10" s="12"/>
      <c r="AE10" s="12"/>
    </row>
    <row r="11" customFormat="false" ht="15" hidden="false" customHeight="false" outlineLevel="0" collapsed="false">
      <c r="A11" s="13" t="n">
        <v>46333</v>
      </c>
      <c r="B11" s="14" t="n">
        <f aca="false">INT((A11-$A$5)/7)+1</f>
        <v>1</v>
      </c>
      <c r="C11" s="14" t="s">
        <v>63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 t="str">
        <f aca="false">IF(COUNTA(D11:Y11)=0,"",COUNTIF(D11:Y11,"✅")/22)</f>
        <v/>
      </c>
      <c r="AC11" s="12"/>
      <c r="AD11" s="12"/>
      <c r="AE11" s="12"/>
    </row>
    <row r="12" customFormat="false" ht="15" hidden="false" customHeight="false" outlineLevel="0" collapsed="false">
      <c r="A12" s="8" t="n">
        <v>46334</v>
      </c>
      <c r="B12" s="9" t="n">
        <f aca="false">INT((A12-$A$5)/7)+1</f>
        <v>2</v>
      </c>
      <c r="C12" s="9" t="s">
        <v>52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 t="str">
        <f aca="false">IF(COUNTA(D12:Y12)=0,"",COUNTIF(D12:Y12,"✅")/22)</f>
        <v/>
      </c>
      <c r="AC12" s="12"/>
      <c r="AD12" s="12"/>
      <c r="AE12" s="12"/>
    </row>
    <row r="13" customFormat="false" ht="15" hidden="false" customHeight="false" outlineLevel="0" collapsed="false">
      <c r="A13" s="13" t="n">
        <v>46335</v>
      </c>
      <c r="B13" s="14" t="n">
        <f aca="false">INT((A13-$A$5)/7)+1</f>
        <v>2</v>
      </c>
      <c r="C13" s="14" t="s">
        <v>58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 t="str">
        <f aca="false">IF(COUNTA(D13:Y13)=0,"",COUNTIF(D13:Y13,"✅")/22)</f>
        <v/>
      </c>
      <c r="AC13" s="12"/>
      <c r="AD13" s="12"/>
      <c r="AE13" s="12"/>
    </row>
    <row r="14" customFormat="false" ht="15" hidden="false" customHeight="false" outlineLevel="0" collapsed="false">
      <c r="A14" s="13" t="n">
        <v>46336</v>
      </c>
      <c r="B14" s="14" t="n">
        <f aca="false">INT((A14-$A$5)/7)+1</f>
        <v>2</v>
      </c>
      <c r="C14" s="14" t="s">
        <v>59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 t="str">
        <f aca="false">IF(COUNTA(D14:Y14)=0,"",COUNTIF(D14:Y14,"✅")/22)</f>
        <v/>
      </c>
      <c r="AC14" s="12"/>
      <c r="AD14" s="12"/>
      <c r="AE14" s="12"/>
    </row>
    <row r="15" customFormat="false" ht="15" hidden="false" customHeight="false" outlineLevel="0" collapsed="false">
      <c r="A15" s="13" t="n">
        <v>46337</v>
      </c>
      <c r="B15" s="14" t="n">
        <f aca="false">INT((A15-$A$5)/7)+1</f>
        <v>2</v>
      </c>
      <c r="C15" s="14" t="s">
        <v>60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 t="str">
        <f aca="false">IF(COUNTA(D15:Y15)=0,"",COUNTIF(D15:Y15,"✅")/22)</f>
        <v/>
      </c>
      <c r="AC15" s="12"/>
      <c r="AD15" s="12"/>
      <c r="AE15" s="12"/>
    </row>
    <row r="16" customFormat="false" ht="15" hidden="false" customHeight="false" outlineLevel="0" collapsed="false">
      <c r="A16" s="13" t="n">
        <v>46338</v>
      </c>
      <c r="B16" s="14" t="n">
        <f aca="false">INT((A16-$A$5)/7)+1</f>
        <v>2</v>
      </c>
      <c r="C16" s="14" t="s">
        <v>61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 t="str">
        <f aca="false">IF(COUNTA(D16:Y16)=0,"",COUNTIF(D16:Y16,"✅")/22)</f>
        <v/>
      </c>
      <c r="AC16" s="12"/>
      <c r="AD16" s="12"/>
      <c r="AE16" s="12"/>
    </row>
    <row r="17" customFormat="false" ht="15" hidden="false" customHeight="false" outlineLevel="0" collapsed="false">
      <c r="A17" s="13" t="n">
        <v>46339</v>
      </c>
      <c r="B17" s="14" t="n">
        <f aca="false">INT((A17-$A$5)/7)+1</f>
        <v>2</v>
      </c>
      <c r="C17" s="14" t="s">
        <v>62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 t="str">
        <f aca="false">IF(COUNTA(D17:Y17)=0,"",COUNTIF(D17:Y17,"✅")/22)</f>
        <v/>
      </c>
      <c r="AC17" s="12"/>
      <c r="AD17" s="12"/>
      <c r="AE17" s="12"/>
    </row>
    <row r="18" customFormat="false" ht="15" hidden="false" customHeight="false" outlineLevel="0" collapsed="false">
      <c r="A18" s="13" t="n">
        <v>46340</v>
      </c>
      <c r="B18" s="14" t="n">
        <f aca="false">INT((A18-$A$5)/7)+1</f>
        <v>2</v>
      </c>
      <c r="C18" s="14" t="s">
        <v>63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 t="str">
        <f aca="false">IF(COUNTA(D18:Y18)=0,"",COUNTIF(D18:Y18,"✅")/22)</f>
        <v/>
      </c>
      <c r="AC18" s="12"/>
      <c r="AD18" s="12"/>
      <c r="AE18" s="12"/>
    </row>
    <row r="19" customFormat="false" ht="15" hidden="false" customHeight="false" outlineLevel="0" collapsed="false">
      <c r="A19" s="8" t="n">
        <v>46341</v>
      </c>
      <c r="B19" s="9" t="n">
        <f aca="false">INT((A19-$A$5)/7)+1</f>
        <v>3</v>
      </c>
      <c r="C19" s="9" t="s">
        <v>52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 t="str">
        <f aca="false">IF(COUNTA(D19:Y19)=0,"",COUNTIF(D19:Y19,"✅")/22)</f>
        <v/>
      </c>
      <c r="AC19" s="12"/>
      <c r="AD19" s="12"/>
      <c r="AE19" s="12"/>
    </row>
    <row r="20" customFormat="false" ht="15" hidden="false" customHeight="false" outlineLevel="0" collapsed="false">
      <c r="A20" s="13" t="n">
        <v>46342</v>
      </c>
      <c r="B20" s="14" t="n">
        <f aca="false">INT((A20-$A$5)/7)+1</f>
        <v>3</v>
      </c>
      <c r="C20" s="14" t="s">
        <v>58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 t="str">
        <f aca="false">IF(COUNTA(D20:Y20)=0,"",COUNTIF(D20:Y20,"✅")/22)</f>
        <v/>
      </c>
      <c r="AC20" s="12"/>
      <c r="AD20" s="12"/>
      <c r="AE20" s="12"/>
    </row>
    <row r="21" customFormat="false" ht="15" hidden="false" customHeight="false" outlineLevel="0" collapsed="false">
      <c r="A21" s="13" t="n">
        <v>46343</v>
      </c>
      <c r="B21" s="14" t="n">
        <f aca="false">INT((A21-$A$5)/7)+1</f>
        <v>3</v>
      </c>
      <c r="C21" s="14" t="s">
        <v>59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 t="str">
        <f aca="false">IF(COUNTA(D21:Y21)=0,"",COUNTIF(D21:Y21,"✅")/22)</f>
        <v/>
      </c>
      <c r="AC21" s="12"/>
      <c r="AD21" s="12"/>
      <c r="AE21" s="12"/>
    </row>
    <row r="22" customFormat="false" ht="15" hidden="false" customHeight="false" outlineLevel="0" collapsed="false">
      <c r="A22" s="13" t="n">
        <v>46344</v>
      </c>
      <c r="B22" s="14" t="n">
        <f aca="false">INT((A22-$A$5)/7)+1</f>
        <v>3</v>
      </c>
      <c r="C22" s="14" t="s">
        <v>60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 t="str">
        <f aca="false">IF(COUNTA(D22:Y22)=0,"",COUNTIF(D22:Y22,"✅")/22)</f>
        <v/>
      </c>
      <c r="AC22" s="12"/>
      <c r="AD22" s="12"/>
      <c r="AE22" s="12"/>
    </row>
    <row r="23" customFormat="false" ht="15" hidden="false" customHeight="false" outlineLevel="0" collapsed="false">
      <c r="A23" s="13" t="n">
        <v>46345</v>
      </c>
      <c r="B23" s="14" t="n">
        <f aca="false">INT((A23-$A$5)/7)+1</f>
        <v>3</v>
      </c>
      <c r="C23" s="14" t="s">
        <v>61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 t="str">
        <f aca="false">IF(COUNTA(D23:Y23)=0,"",COUNTIF(D23:Y23,"✅")/22)</f>
        <v/>
      </c>
      <c r="AC23" s="12"/>
      <c r="AD23" s="12"/>
      <c r="AE23" s="12"/>
    </row>
    <row r="24" customFormat="false" ht="15" hidden="false" customHeight="false" outlineLevel="0" collapsed="false">
      <c r="A24" s="13" t="n">
        <v>46346</v>
      </c>
      <c r="B24" s="14" t="n">
        <f aca="false">INT((A24-$A$5)/7)+1</f>
        <v>3</v>
      </c>
      <c r="C24" s="14" t="s">
        <v>62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 t="str">
        <f aca="false">IF(COUNTA(D24:Y24)=0,"",COUNTIF(D24:Y24,"✅")/22)</f>
        <v/>
      </c>
      <c r="AC24" s="12"/>
      <c r="AD24" s="12"/>
      <c r="AE24" s="12"/>
    </row>
    <row r="25" customFormat="false" ht="15" hidden="false" customHeight="false" outlineLevel="0" collapsed="false">
      <c r="A25" s="13" t="n">
        <v>46347</v>
      </c>
      <c r="B25" s="14" t="n">
        <f aca="false">INT((A25-$A$5)/7)+1</f>
        <v>3</v>
      </c>
      <c r="C25" s="14" t="s">
        <v>63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 t="str">
        <f aca="false">IF(COUNTA(D25:Y25)=0,"",COUNTIF(D25:Y25,"✅")/22)</f>
        <v/>
      </c>
      <c r="AC25" s="12"/>
      <c r="AD25" s="12"/>
      <c r="AE25" s="12"/>
    </row>
    <row r="26" customFormat="false" ht="15" hidden="false" customHeight="false" outlineLevel="0" collapsed="false">
      <c r="A26" s="8" t="n">
        <v>46348</v>
      </c>
      <c r="B26" s="9" t="n">
        <f aca="false">INT((A26-$A$5)/7)+1</f>
        <v>4</v>
      </c>
      <c r="C26" s="9" t="s">
        <v>52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 t="str">
        <f aca="false">IF(COUNTA(D26:Y26)=0,"",COUNTIF(D26:Y26,"✅")/22)</f>
        <v/>
      </c>
      <c r="AC26" s="12"/>
      <c r="AD26" s="12"/>
      <c r="AE26" s="12"/>
    </row>
    <row r="27" customFormat="false" ht="15" hidden="false" customHeight="false" outlineLevel="0" collapsed="false">
      <c r="A27" s="13" t="n">
        <v>46349</v>
      </c>
      <c r="B27" s="14" t="n">
        <f aca="false">INT((A27-$A$5)/7)+1</f>
        <v>4</v>
      </c>
      <c r="C27" s="14" t="s">
        <v>58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 t="str">
        <f aca="false">IF(COUNTA(D27:Y27)=0,"",COUNTIF(D27:Y27,"✅")/22)</f>
        <v/>
      </c>
      <c r="AC27" s="12"/>
      <c r="AD27" s="12"/>
      <c r="AE27" s="12"/>
    </row>
    <row r="28" customFormat="false" ht="15" hidden="false" customHeight="false" outlineLevel="0" collapsed="false">
      <c r="A28" s="13" t="n">
        <v>46350</v>
      </c>
      <c r="B28" s="14" t="n">
        <f aca="false">INT((A28-$A$5)/7)+1</f>
        <v>4</v>
      </c>
      <c r="C28" s="14" t="s">
        <v>59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 t="str">
        <f aca="false">IF(COUNTA(D28:Y28)=0,"",COUNTIF(D28:Y28,"✅")/22)</f>
        <v/>
      </c>
      <c r="AC28" s="12"/>
      <c r="AD28" s="12"/>
      <c r="AE28" s="12"/>
    </row>
    <row r="29" customFormat="false" ht="15" hidden="false" customHeight="false" outlineLevel="0" collapsed="false">
      <c r="A29" s="13" t="n">
        <v>46351</v>
      </c>
      <c r="B29" s="14" t="n">
        <f aca="false">INT((A29-$A$5)/7)+1</f>
        <v>4</v>
      </c>
      <c r="C29" s="14" t="s">
        <v>60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 t="str">
        <f aca="false">IF(COUNTA(D29:Y29)=0,"",COUNTIF(D29:Y29,"✅")/22)</f>
        <v/>
      </c>
      <c r="AC29" s="12"/>
      <c r="AD29" s="12"/>
      <c r="AE29" s="12"/>
    </row>
    <row r="30" customFormat="false" ht="15" hidden="false" customHeight="false" outlineLevel="0" collapsed="false">
      <c r="A30" s="13" t="n">
        <v>46352</v>
      </c>
      <c r="B30" s="14" t="n">
        <f aca="false">INT((A30-$A$5)/7)+1</f>
        <v>4</v>
      </c>
      <c r="C30" s="14" t="s">
        <v>61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 t="str">
        <f aca="false">IF(COUNTA(D30:Y30)=0,"",COUNTIF(D30:Y30,"✅")/22)</f>
        <v/>
      </c>
      <c r="AC30" s="12"/>
      <c r="AD30" s="12"/>
      <c r="AE30" s="12"/>
    </row>
    <row r="31" customFormat="false" ht="15" hidden="false" customHeight="false" outlineLevel="0" collapsed="false">
      <c r="A31" s="13" t="n">
        <v>46353</v>
      </c>
      <c r="B31" s="14" t="n">
        <f aca="false">INT((A31-$A$5)/7)+1</f>
        <v>4</v>
      </c>
      <c r="C31" s="14" t="s">
        <v>62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 t="str">
        <f aca="false">IF(COUNTA(D31:Y31)=0,"",COUNTIF(D31:Y31,"✅")/22)</f>
        <v/>
      </c>
      <c r="AC31" s="12"/>
      <c r="AD31" s="12"/>
      <c r="AE31" s="12"/>
    </row>
    <row r="32" customFormat="false" ht="15" hidden="false" customHeight="false" outlineLevel="0" collapsed="false">
      <c r="A32" s="13" t="n">
        <v>46354</v>
      </c>
      <c r="B32" s="14" t="n">
        <f aca="false">INT((A32-$A$5)/7)+1</f>
        <v>4</v>
      </c>
      <c r="C32" s="14" t="s">
        <v>63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 t="str">
        <f aca="false">IF(COUNTA(D32:Y32)=0,"",COUNTIF(D32:Y32,"✅")/22)</f>
        <v/>
      </c>
      <c r="AC32" s="12"/>
      <c r="AD32" s="12"/>
      <c r="AE32" s="12"/>
    </row>
    <row r="33" customFormat="false" ht="15" hidden="false" customHeight="false" outlineLevel="0" collapsed="false">
      <c r="A33" s="8" t="n">
        <v>46355</v>
      </c>
      <c r="B33" s="9" t="n">
        <f aca="false">INT((A33-$A$5)/7)+1</f>
        <v>5</v>
      </c>
      <c r="C33" s="9" t="s">
        <v>52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 t="str">
        <f aca="false">IF(COUNTA(D33:Y33)=0,"",COUNTIF(D33:Y33,"✅")/22)</f>
        <v/>
      </c>
      <c r="AC33" s="12"/>
      <c r="AD33" s="12"/>
      <c r="AE33" s="12"/>
    </row>
    <row r="34" customFormat="false" ht="15" hidden="false" customHeight="false" outlineLevel="0" collapsed="false">
      <c r="A34" s="13" t="n">
        <v>46356</v>
      </c>
      <c r="B34" s="14" t="n">
        <f aca="false">INT((A34-$A$5)/7)+1</f>
        <v>5</v>
      </c>
      <c r="C34" s="14" t="s">
        <v>58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 t="str">
        <f aca="false">IF(COUNTA(D34:Y34)=0,"",COUNTIF(D34:Y34,"✅")/22)</f>
        <v/>
      </c>
      <c r="AC34" s="12"/>
      <c r="AD34" s="12"/>
      <c r="AE34" s="12"/>
    </row>
    <row r="35" customFormat="false" ht="15" hidden="false" customHeight="false" outlineLevel="0" collapsed="false">
      <c r="A35" s="13" t="n">
        <v>46357</v>
      </c>
      <c r="B35" s="14" t="n">
        <f aca="false">INT((A35-$A$5)/7)+1</f>
        <v>5</v>
      </c>
      <c r="C35" s="14" t="s">
        <v>59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 t="str">
        <f aca="false">IF(COUNTA(D35:Y35)=0,"",COUNTIF(D35:Y35,"✅")/22)</f>
        <v/>
      </c>
      <c r="AC35" s="12"/>
      <c r="AD35" s="12"/>
      <c r="AE35" s="12"/>
    </row>
    <row r="36" customFormat="false" ht="15" hidden="false" customHeight="false" outlineLevel="0" collapsed="false">
      <c r="A36" s="13" t="n">
        <v>46358</v>
      </c>
      <c r="B36" s="14" t="n">
        <f aca="false">INT((A36-$A$5)/7)+1</f>
        <v>5</v>
      </c>
      <c r="C36" s="14" t="s">
        <v>60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 t="str">
        <f aca="false">IF(COUNTA(D36:Y36)=0,"",COUNTIF(D36:Y36,"✅")/22)</f>
        <v/>
      </c>
      <c r="AC36" s="12"/>
      <c r="AD36" s="12"/>
      <c r="AE36" s="12"/>
    </row>
    <row r="37" customFormat="false" ht="15" hidden="false" customHeight="false" outlineLevel="0" collapsed="false">
      <c r="A37" s="13" t="n">
        <v>46359</v>
      </c>
      <c r="B37" s="14" t="n">
        <f aca="false">INT((A37-$A$5)/7)+1</f>
        <v>5</v>
      </c>
      <c r="C37" s="14" t="s">
        <v>61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 t="str">
        <f aca="false">IF(COUNTA(D37:Y37)=0,"",COUNTIF(D37:Y37,"✅")/22)</f>
        <v/>
      </c>
      <c r="AC37" s="12"/>
      <c r="AD37" s="12"/>
      <c r="AE37" s="12"/>
    </row>
    <row r="38" customFormat="false" ht="15" hidden="false" customHeight="false" outlineLevel="0" collapsed="false">
      <c r="A38" s="13" t="n">
        <v>46360</v>
      </c>
      <c r="B38" s="14" t="n">
        <f aca="false">INT((A38-$A$5)/7)+1</f>
        <v>5</v>
      </c>
      <c r="C38" s="14" t="s">
        <v>62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 t="str">
        <f aca="false">IF(COUNTA(D38:Y38)=0,"",COUNTIF(D38:Y38,"✅")/22)</f>
        <v/>
      </c>
      <c r="AC38" s="12"/>
      <c r="AD38" s="12"/>
      <c r="AE38" s="12"/>
    </row>
    <row r="39" customFormat="false" ht="15" hidden="false" customHeight="false" outlineLevel="0" collapsed="false">
      <c r="A39" s="13" t="n">
        <v>46361</v>
      </c>
      <c r="B39" s="14" t="n">
        <f aca="false">INT((A39-$A$5)/7)+1</f>
        <v>5</v>
      </c>
      <c r="C39" s="14" t="s">
        <v>63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 t="str">
        <f aca="false">IF(COUNTA(D39:Y39)=0,"",COUNTIF(D39:Y39,"✅")/22)</f>
        <v/>
      </c>
      <c r="AC39" s="12"/>
      <c r="AD39" s="12"/>
      <c r="AE39" s="12"/>
    </row>
    <row r="40" customFormat="false" ht="15" hidden="false" customHeight="false" outlineLevel="0" collapsed="false">
      <c r="A40" s="8" t="n">
        <v>46362</v>
      </c>
      <c r="B40" s="9" t="n">
        <f aca="false">INT((A40-$A$5)/7)+1</f>
        <v>6</v>
      </c>
      <c r="C40" s="9" t="s">
        <v>52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 t="str">
        <f aca="false">IF(COUNTA(D40:Y40)=0,"",COUNTIF(D40:Y40,"✅")/22)</f>
        <v/>
      </c>
      <c r="AC40" s="12"/>
      <c r="AD40" s="12"/>
      <c r="AE40" s="12"/>
    </row>
    <row r="41" customFormat="false" ht="15" hidden="false" customHeight="false" outlineLevel="0" collapsed="false">
      <c r="A41" s="13" t="n">
        <v>46363</v>
      </c>
      <c r="B41" s="14" t="n">
        <f aca="false">INT((A41-$A$5)/7)+1</f>
        <v>6</v>
      </c>
      <c r="C41" s="14" t="s">
        <v>58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 t="str">
        <f aca="false">IF(COUNTA(D41:Y41)=0,"",COUNTIF(D41:Y41,"✅")/22)</f>
        <v/>
      </c>
      <c r="AC41" s="12"/>
      <c r="AD41" s="12"/>
      <c r="AE41" s="12"/>
    </row>
    <row r="42" customFormat="false" ht="15" hidden="false" customHeight="false" outlineLevel="0" collapsed="false">
      <c r="A42" s="13" t="n">
        <v>46364</v>
      </c>
      <c r="B42" s="14" t="n">
        <f aca="false">INT((A42-$A$5)/7)+1</f>
        <v>6</v>
      </c>
      <c r="C42" s="14" t="s">
        <v>59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 t="str">
        <f aca="false">IF(COUNTA(D42:Y42)=0,"",COUNTIF(D42:Y42,"✅")/22)</f>
        <v/>
      </c>
      <c r="AC42" s="12"/>
      <c r="AD42" s="12"/>
      <c r="AE42" s="12"/>
    </row>
    <row r="43" customFormat="false" ht="15" hidden="false" customHeight="false" outlineLevel="0" collapsed="false">
      <c r="A43" s="13" t="n">
        <v>46365</v>
      </c>
      <c r="B43" s="14" t="n">
        <f aca="false">INT((A43-$A$5)/7)+1</f>
        <v>6</v>
      </c>
      <c r="C43" s="14" t="s">
        <v>60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 t="str">
        <f aca="false">IF(COUNTA(D43:Y43)=0,"",COUNTIF(D43:Y43,"✅")/22)</f>
        <v/>
      </c>
      <c r="AC43" s="12"/>
      <c r="AD43" s="12"/>
      <c r="AE43" s="12"/>
    </row>
    <row r="44" customFormat="false" ht="15" hidden="false" customHeight="false" outlineLevel="0" collapsed="false">
      <c r="A44" s="13" t="n">
        <v>46366</v>
      </c>
      <c r="B44" s="14" t="n">
        <f aca="false">INT((A44-$A$5)/7)+1</f>
        <v>6</v>
      </c>
      <c r="C44" s="14" t="s">
        <v>61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 t="str">
        <f aca="false">IF(COUNTA(D44:Y44)=0,"",COUNTIF(D44:Y44,"✅")/22)</f>
        <v/>
      </c>
      <c r="AC44" s="12"/>
      <c r="AD44" s="12"/>
      <c r="AE44" s="12"/>
    </row>
    <row r="45" customFormat="false" ht="15" hidden="false" customHeight="false" outlineLevel="0" collapsed="false">
      <c r="A45" s="13" t="n">
        <v>46367</v>
      </c>
      <c r="B45" s="14" t="n">
        <f aca="false">INT((A45-$A$5)/7)+1</f>
        <v>6</v>
      </c>
      <c r="C45" s="14" t="s">
        <v>62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 t="str">
        <f aca="false">IF(COUNTA(D45:Y45)=0,"",COUNTIF(D45:Y45,"✅")/22)</f>
        <v/>
      </c>
      <c r="AC45" s="12"/>
      <c r="AD45" s="12"/>
      <c r="AE45" s="12"/>
    </row>
    <row r="46" customFormat="false" ht="15" hidden="false" customHeight="false" outlineLevel="0" collapsed="false">
      <c r="A46" s="13" t="n">
        <v>46368</v>
      </c>
      <c r="B46" s="14" t="n">
        <f aca="false">INT((A46-$A$5)/7)+1</f>
        <v>6</v>
      </c>
      <c r="C46" s="14" t="s">
        <v>63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 t="str">
        <f aca="false">IF(COUNTA(D46:Y46)=0,"",COUNTIF(D46:Y46,"✅")/22)</f>
        <v/>
      </c>
      <c r="AC46" s="12"/>
      <c r="AD46" s="12"/>
      <c r="AE46" s="12"/>
    </row>
    <row r="47" customFormat="false" ht="15" hidden="false" customHeight="false" outlineLevel="0" collapsed="false">
      <c r="A47" s="8" t="n">
        <v>46369</v>
      </c>
      <c r="B47" s="9" t="n">
        <f aca="false">INT((A47-$A$5)/7)+1</f>
        <v>7</v>
      </c>
      <c r="C47" s="9" t="s">
        <v>52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 t="str">
        <f aca="false">IF(COUNTA(D47:Y47)=0,"",COUNTIF(D47:Y47,"✅")/22)</f>
        <v/>
      </c>
      <c r="AC47" s="12"/>
      <c r="AD47" s="12"/>
      <c r="AE47" s="12"/>
    </row>
    <row r="48" customFormat="false" ht="15" hidden="false" customHeight="false" outlineLevel="0" collapsed="false">
      <c r="A48" s="13" t="n">
        <v>46370</v>
      </c>
      <c r="B48" s="14" t="n">
        <f aca="false">INT((A48-$A$5)/7)+1</f>
        <v>7</v>
      </c>
      <c r="C48" s="14" t="s">
        <v>58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 t="str">
        <f aca="false">IF(COUNTA(D48:Y48)=0,"",COUNTIF(D48:Y48,"✅")/22)</f>
        <v/>
      </c>
      <c r="AC48" s="12"/>
      <c r="AD48" s="12"/>
      <c r="AE48" s="12"/>
    </row>
    <row r="49" customFormat="false" ht="15" hidden="false" customHeight="false" outlineLevel="0" collapsed="false">
      <c r="A49" s="13" t="n">
        <v>46371</v>
      </c>
      <c r="B49" s="14" t="n">
        <f aca="false">INT((A49-$A$5)/7)+1</f>
        <v>7</v>
      </c>
      <c r="C49" s="14" t="s">
        <v>59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 t="str">
        <f aca="false">IF(COUNTA(D49:Y49)=0,"",COUNTIF(D49:Y49,"✅")/22)</f>
        <v/>
      </c>
      <c r="AC49" s="12"/>
      <c r="AD49" s="12"/>
      <c r="AE49" s="12"/>
    </row>
    <row r="50" customFormat="false" ht="15" hidden="false" customHeight="false" outlineLevel="0" collapsed="false">
      <c r="A50" s="13" t="n">
        <v>46372</v>
      </c>
      <c r="B50" s="14" t="n">
        <f aca="false">INT((A50-$A$5)/7)+1</f>
        <v>7</v>
      </c>
      <c r="C50" s="14" t="s">
        <v>60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 t="str">
        <f aca="false">IF(COUNTA(D50:Y50)=0,"",COUNTIF(D50:Y50,"✅")/22)</f>
        <v/>
      </c>
      <c r="AC50" s="12"/>
      <c r="AD50" s="12"/>
      <c r="AE50" s="12"/>
    </row>
    <row r="51" customFormat="false" ht="15" hidden="false" customHeight="false" outlineLevel="0" collapsed="false">
      <c r="A51" s="13" t="n">
        <v>46373</v>
      </c>
      <c r="B51" s="14" t="n">
        <f aca="false">INT((A51-$A$5)/7)+1</f>
        <v>7</v>
      </c>
      <c r="C51" s="14" t="s">
        <v>61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 t="str">
        <f aca="false">IF(COUNTA(D51:Y51)=0,"",COUNTIF(D51:Y51,"✅")/22)</f>
        <v/>
      </c>
      <c r="AC51" s="12"/>
      <c r="AD51" s="12"/>
      <c r="AE51" s="12"/>
    </row>
    <row r="52" customFormat="false" ht="15" hidden="false" customHeight="false" outlineLevel="0" collapsed="false">
      <c r="A52" s="13" t="n">
        <v>46374</v>
      </c>
      <c r="B52" s="14" t="n">
        <f aca="false">INT((A52-$A$5)/7)+1</f>
        <v>7</v>
      </c>
      <c r="C52" s="14" t="s">
        <v>62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 t="str">
        <f aca="false">IF(COUNTA(D52:Y52)=0,"",COUNTIF(D52:Y52,"✅")/22)</f>
        <v/>
      </c>
      <c r="AC52" s="12"/>
      <c r="AD52" s="12"/>
      <c r="AE52" s="12"/>
    </row>
    <row r="53" customFormat="false" ht="15" hidden="false" customHeight="false" outlineLevel="0" collapsed="false">
      <c r="A53" s="13" t="n">
        <v>46375</v>
      </c>
      <c r="B53" s="14" t="n">
        <f aca="false">INT((A53-$A$5)/7)+1</f>
        <v>7</v>
      </c>
      <c r="C53" s="14" t="s">
        <v>63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 t="str">
        <f aca="false">IF(COUNTA(D53:Y53)=0,"",COUNTIF(D53:Y53,"✅")/22)</f>
        <v/>
      </c>
      <c r="AC53" s="12"/>
      <c r="AD53" s="12"/>
      <c r="AE53" s="12"/>
    </row>
    <row r="54" customFormat="false" ht="15" hidden="false" customHeight="false" outlineLevel="0" collapsed="false">
      <c r="A54" s="8" t="n">
        <v>46376</v>
      </c>
      <c r="B54" s="9" t="n">
        <f aca="false">INT((A54-$A$5)/7)+1</f>
        <v>8</v>
      </c>
      <c r="C54" s="9" t="s">
        <v>52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 t="str">
        <f aca="false">IF(COUNTA(D54:Y54)=0,"",COUNTIF(D54:Y54,"✅")/22)</f>
        <v/>
      </c>
      <c r="AC54" s="12"/>
      <c r="AD54" s="12"/>
      <c r="AE54" s="12"/>
    </row>
    <row r="55" customFormat="false" ht="15" hidden="false" customHeight="false" outlineLevel="0" collapsed="false">
      <c r="A55" s="13" t="n">
        <v>46377</v>
      </c>
      <c r="B55" s="14" t="n">
        <f aca="false">INT((A55-$A$5)/7)+1</f>
        <v>8</v>
      </c>
      <c r="C55" s="14" t="s">
        <v>58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 t="str">
        <f aca="false">IF(COUNTA(D55:Y55)=0,"",COUNTIF(D55:Y55,"✅")/22)</f>
        <v/>
      </c>
      <c r="AC55" s="12"/>
      <c r="AD55" s="12"/>
      <c r="AE55" s="12"/>
    </row>
    <row r="56" customFormat="false" ht="15" hidden="false" customHeight="false" outlineLevel="0" collapsed="false">
      <c r="A56" s="13" t="n">
        <v>46378</v>
      </c>
      <c r="B56" s="14" t="n">
        <f aca="false">INT((A56-$A$5)/7)+1</f>
        <v>8</v>
      </c>
      <c r="C56" s="14" t="s">
        <v>59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 t="str">
        <f aca="false">IF(COUNTA(D56:Y56)=0,"",COUNTIF(D56:Y56,"✅")/22)</f>
        <v/>
      </c>
      <c r="AC56" s="12"/>
      <c r="AD56" s="12"/>
      <c r="AE56" s="12"/>
    </row>
    <row r="57" customFormat="false" ht="15" hidden="false" customHeight="false" outlineLevel="0" collapsed="false">
      <c r="A57" s="13" t="n">
        <v>46379</v>
      </c>
      <c r="B57" s="14" t="n">
        <f aca="false">INT((A57-$A$5)/7)+1</f>
        <v>8</v>
      </c>
      <c r="C57" s="14" t="s">
        <v>60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 t="str">
        <f aca="false">IF(COUNTA(D57:Y57)=0,"",COUNTIF(D57:Y57,"✅")/22)</f>
        <v/>
      </c>
      <c r="AC57" s="12"/>
      <c r="AD57" s="12"/>
      <c r="AE57" s="12"/>
    </row>
    <row r="58" customFormat="false" ht="15" hidden="false" customHeight="false" outlineLevel="0" collapsed="false">
      <c r="A58" s="13" t="n">
        <v>46380</v>
      </c>
      <c r="B58" s="14" t="n">
        <f aca="false">INT((A58-$A$5)/7)+1</f>
        <v>8</v>
      </c>
      <c r="C58" s="14" t="s">
        <v>61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 t="str">
        <f aca="false">IF(COUNTA(D58:Y58)=0,"",COUNTIF(D58:Y58,"✅")/22)</f>
        <v/>
      </c>
      <c r="AC58" s="12"/>
      <c r="AD58" s="12"/>
      <c r="AE58" s="12"/>
    </row>
    <row r="59" customFormat="false" ht="15" hidden="false" customHeight="false" outlineLevel="0" collapsed="false">
      <c r="A59" s="13" t="n">
        <v>46381</v>
      </c>
      <c r="B59" s="14" t="n">
        <f aca="false">INT((A59-$A$5)/7)+1</f>
        <v>8</v>
      </c>
      <c r="C59" s="14" t="s">
        <v>62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 t="str">
        <f aca="false">IF(COUNTA(D59:Y59)=0,"",COUNTIF(D59:Y59,"✅")/22)</f>
        <v/>
      </c>
      <c r="AC59" s="12"/>
      <c r="AD59" s="12"/>
      <c r="AE59" s="12"/>
    </row>
    <row r="60" customFormat="false" ht="15" hidden="false" customHeight="false" outlineLevel="0" collapsed="false">
      <c r="A60" s="13" t="n">
        <v>46382</v>
      </c>
      <c r="B60" s="14" t="n">
        <f aca="false">INT((A60-$A$5)/7)+1</f>
        <v>8</v>
      </c>
      <c r="C60" s="14" t="s">
        <v>63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 t="str">
        <f aca="false">IF(COUNTA(D60:Y60)=0,"",COUNTIF(D60:Y60,"✅")/22)</f>
        <v/>
      </c>
      <c r="AC60" s="12"/>
      <c r="AD60" s="12"/>
      <c r="AE60" s="12"/>
    </row>
    <row r="61" customFormat="false" ht="15" hidden="false" customHeight="false" outlineLevel="0" collapsed="false">
      <c r="A61" s="8" t="n">
        <v>46383</v>
      </c>
      <c r="B61" s="9" t="n">
        <f aca="false">INT((A61-$A$5)/7)+1</f>
        <v>9</v>
      </c>
      <c r="C61" s="9" t="s">
        <v>52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 t="str">
        <f aca="false">IF(COUNTA(D61:Y61)=0,"",COUNTIF(D61:Y61,"✅")/22)</f>
        <v/>
      </c>
      <c r="AC61" s="12"/>
      <c r="AD61" s="12"/>
      <c r="AE61" s="12"/>
    </row>
    <row r="62" customFormat="false" ht="15" hidden="false" customHeight="false" outlineLevel="0" collapsed="false">
      <c r="A62" s="13" t="n">
        <v>46384</v>
      </c>
      <c r="B62" s="14" t="n">
        <f aca="false">INT((A62-$A$5)/7)+1</f>
        <v>9</v>
      </c>
      <c r="C62" s="14" t="s">
        <v>58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 t="str">
        <f aca="false">IF(COUNTA(D62:Y62)=0,"",COUNTIF(D62:Y62,"✅")/22)</f>
        <v/>
      </c>
      <c r="AC62" s="12"/>
      <c r="AD62" s="12"/>
      <c r="AE62" s="12"/>
    </row>
    <row r="63" customFormat="false" ht="15" hidden="false" customHeight="false" outlineLevel="0" collapsed="false">
      <c r="A63" s="13" t="n">
        <v>46385</v>
      </c>
      <c r="B63" s="14" t="n">
        <f aca="false">INT((A63-$A$5)/7)+1</f>
        <v>9</v>
      </c>
      <c r="C63" s="14" t="s">
        <v>59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 t="str">
        <f aca="false">IF(COUNTA(D63:Y63)=0,"",COUNTIF(D63:Y63,"✅")/22)</f>
        <v/>
      </c>
      <c r="AC63" s="12"/>
      <c r="AD63" s="12"/>
      <c r="AE63" s="12"/>
    </row>
    <row r="64" customFormat="false" ht="15" hidden="false" customHeight="false" outlineLevel="0" collapsed="false">
      <c r="A64" s="13" t="n">
        <v>46386</v>
      </c>
      <c r="B64" s="14" t="n">
        <f aca="false">INT((A64-$A$5)/7)+1</f>
        <v>9</v>
      </c>
      <c r="C64" s="14" t="s">
        <v>60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 t="str">
        <f aca="false">IF(COUNTA(D64:Y64)=0,"",COUNTIF(D64:Y64,"✅")/22)</f>
        <v/>
      </c>
      <c r="AC64" s="12"/>
      <c r="AD64" s="12"/>
      <c r="AE64" s="12"/>
    </row>
    <row r="65" customFormat="false" ht="15" hidden="false" customHeight="false" outlineLevel="0" collapsed="false">
      <c r="A65" s="13" t="n">
        <v>46387</v>
      </c>
      <c r="B65" s="14" t="n">
        <f aca="false">INT((A65-$A$5)/7)+1</f>
        <v>9</v>
      </c>
      <c r="C65" s="14" t="s">
        <v>61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 t="str">
        <f aca="false">IF(COUNTA(D65:Y65)=0,"",COUNTIF(D65:Y65,"✅")/22)</f>
        <v/>
      </c>
      <c r="AC65" s="12"/>
      <c r="AD65" s="12"/>
      <c r="AE65" s="12"/>
    </row>
    <row r="66" customFormat="false" ht="15" hidden="false" customHeight="false" outlineLevel="0" collapsed="false">
      <c r="A66" s="13" t="n">
        <v>46388</v>
      </c>
      <c r="B66" s="14" t="n">
        <f aca="false">INT((A66-$A$5)/7)+1</f>
        <v>9</v>
      </c>
      <c r="C66" s="14" t="s">
        <v>62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 t="str">
        <f aca="false">IF(COUNTA(D66:Y66)=0,"",COUNTIF(D66:Y66,"✅")/22)</f>
        <v/>
      </c>
      <c r="AC66" s="12"/>
      <c r="AD66" s="12"/>
      <c r="AE66" s="12"/>
    </row>
    <row r="67" customFormat="false" ht="15" hidden="false" customHeight="false" outlineLevel="0" collapsed="false">
      <c r="A67" s="13" t="n">
        <v>46389</v>
      </c>
      <c r="B67" s="14" t="n">
        <f aca="false">INT((A67-$A$5)/7)+1</f>
        <v>9</v>
      </c>
      <c r="C67" s="14" t="s">
        <v>63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 t="str">
        <f aca="false">IF(COUNTA(D67:Y67)=0,"",COUNTIF(D67:Y67,"✅")/22)</f>
        <v/>
      </c>
      <c r="AC67" s="12"/>
      <c r="AD67" s="12"/>
      <c r="AE67" s="12"/>
    </row>
  </sheetData>
  <mergeCells count="2">
    <mergeCell ref="A1:AE1"/>
    <mergeCell ref="A2:AE2"/>
  </mergeCells>
  <conditionalFormatting sqref="D5:AA67">
    <cfRule type="cellIs" priority="2" operator="equal" aboveAverage="0" equalAverage="0" bottom="0" percent="0" rank="0" text="" dxfId="0">
      <formula>"✅"</formula>
    </cfRule>
    <cfRule type="cellIs" priority="3" operator="equal" aboveAverage="0" equalAverage="0" bottom="0" percent="0" rank="0" text="" dxfId="1">
      <formula>"❌"</formula>
    </cfRule>
  </conditionalFormatting>
  <conditionalFormatting sqref="AB5:AB67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Z5:Z67">
    <cfRule type="expression" priority="5" aboveAverage="0" equalAverage="0" bottom="0" percent="0" rank="0" text="" dxfId="0">
      <formula>AND(Z5&lt;&gt;"",Z5&gt;=2)</formula>
    </cfRule>
    <cfRule type="expression" priority="6" aboveAverage="0" equalAverage="0" bottom="0" percent="0" rank="0" text="" dxfId="1">
      <formula>AND(Z5&lt;&gt;"",Z5&lt;2)</formula>
    </cfRule>
  </conditionalFormatting>
  <conditionalFormatting sqref="AA5:AA67">
    <cfRule type="expression" priority="7" aboveAverage="0" equalAverage="0" bottom="0" percent="0" rank="0" text="" dxfId="0">
      <formula>AND(AA5&lt;&gt;"",AA5&gt;=20)</formula>
    </cfRule>
    <cfRule type="expression" priority="8" aboveAverage="0" equalAverage="0" bottom="0" percent="0" rank="0" text="" dxfId="1">
      <formula>AND(AA5&lt;&gt;"",AA5&lt;20)</formula>
    </cfRule>
  </conditionalFormatting>
  <dataValidations count="2">
    <dataValidation allowBlank="true" errorStyle="stop" operator="between" showDropDown="false" showErrorMessage="false" showInputMessage="false" sqref="D5:Y67" type="list">
      <formula1>"✅,❌"</formula1>
      <formula2>0</formula2>
    </dataValidation>
    <dataValidation allowBlank="true" errorStyle="stop" operator="between" showDropDown="false" showErrorMessage="false" showInputMessage="false" sqref="Z5:AA67" type="decimal">
      <formula1>0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27" min="4" style="0" width="9"/>
    <col collapsed="false" customWidth="true" hidden="false" outlineLevel="0" max="28" min="28" style="0" width="8"/>
    <col collapsed="false" customWidth="true" hidden="false" outlineLevel="0" max="31" min="29" style="0" width="30"/>
  </cols>
  <sheetData>
    <row r="1" customFormat="false" ht="27.75" hidden="false" customHeight="true" outlineLevel="0" collapsed="false">
      <c r="A1" s="5" t="s">
        <v>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customFormat="false" ht="15" hidden="false" customHeight="false" outlineLevel="0" collapsed="false">
      <c r="A2" s="6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4" customFormat="false" ht="42" hidden="false" customHeight="true" outlineLevel="0" collapsed="false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32</v>
      </c>
      <c r="M4" s="7" t="s">
        <v>33</v>
      </c>
      <c r="N4" s="7" t="s">
        <v>34</v>
      </c>
      <c r="O4" s="7" t="s">
        <v>35</v>
      </c>
      <c r="P4" s="7" t="s">
        <v>36</v>
      </c>
      <c r="Q4" s="7" t="s">
        <v>37</v>
      </c>
      <c r="R4" s="7" t="s">
        <v>38</v>
      </c>
      <c r="S4" s="7" t="s">
        <v>39</v>
      </c>
      <c r="T4" s="7" t="s">
        <v>40</v>
      </c>
      <c r="U4" s="7" t="s">
        <v>41</v>
      </c>
      <c r="V4" s="7" t="s">
        <v>42</v>
      </c>
      <c r="W4" s="7" t="s">
        <v>43</v>
      </c>
      <c r="X4" s="7" t="s">
        <v>44</v>
      </c>
      <c r="Y4" s="7" t="s">
        <v>45</v>
      </c>
      <c r="Z4" s="7" t="s">
        <v>46</v>
      </c>
      <c r="AA4" s="7" t="s">
        <v>47</v>
      </c>
      <c r="AB4" s="7" t="s">
        <v>48</v>
      </c>
      <c r="AC4" s="7" t="s">
        <v>49</v>
      </c>
      <c r="AD4" s="7" t="s">
        <v>50</v>
      </c>
      <c r="AE4" s="7" t="s">
        <v>51</v>
      </c>
    </row>
    <row r="5" customFormat="false" ht="15" hidden="false" customHeight="false" outlineLevel="0" collapsed="false">
      <c r="A5" s="8" t="n">
        <v>46327</v>
      </c>
      <c r="B5" s="9" t="n">
        <f aca="false">INT((A5-$A$5)/7)+1</f>
        <v>1</v>
      </c>
      <c r="C5" s="9" t="s">
        <v>52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1" t="str">
        <f aca="false">IF(COUNTA(D5:Y5)=0,"",COUNTIF(D5:Y5,"✅")/22)</f>
        <v/>
      </c>
      <c r="AC5" s="12"/>
      <c r="AD5" s="12"/>
      <c r="AE5" s="12"/>
    </row>
    <row r="6" customFormat="false" ht="15" hidden="false" customHeight="false" outlineLevel="0" collapsed="false">
      <c r="A6" s="13" t="n">
        <v>46328</v>
      </c>
      <c r="B6" s="14" t="n">
        <f aca="false">INT((A6-$A$5)/7)+1</f>
        <v>1</v>
      </c>
      <c r="C6" s="14" t="s">
        <v>58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 t="str">
        <f aca="false">IF(COUNTA(D6:Y6)=0,"",COUNTIF(D6:Y6,"✅")/22)</f>
        <v/>
      </c>
      <c r="AC6" s="12"/>
      <c r="AD6" s="12"/>
      <c r="AE6" s="12"/>
    </row>
    <row r="7" customFormat="false" ht="15" hidden="false" customHeight="false" outlineLevel="0" collapsed="false">
      <c r="A7" s="13" t="n">
        <v>46329</v>
      </c>
      <c r="B7" s="14" t="n">
        <f aca="false">INT((A7-$A$5)/7)+1</f>
        <v>1</v>
      </c>
      <c r="C7" s="14" t="s">
        <v>59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 t="str">
        <f aca="false">IF(COUNTA(D7:Y7)=0,"",COUNTIF(D7:Y7,"✅")/22)</f>
        <v/>
      </c>
      <c r="AC7" s="12"/>
      <c r="AD7" s="12"/>
      <c r="AE7" s="12"/>
    </row>
    <row r="8" customFormat="false" ht="15" hidden="false" customHeight="false" outlineLevel="0" collapsed="false">
      <c r="A8" s="13" t="n">
        <v>46330</v>
      </c>
      <c r="B8" s="14" t="n">
        <f aca="false">INT((A8-$A$5)/7)+1</f>
        <v>1</v>
      </c>
      <c r="C8" s="14" t="s">
        <v>60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 t="str">
        <f aca="false">IF(COUNTA(D8:Y8)=0,"",COUNTIF(D8:Y8,"✅")/22)</f>
        <v/>
      </c>
      <c r="AC8" s="12"/>
      <c r="AD8" s="12"/>
      <c r="AE8" s="12"/>
    </row>
    <row r="9" customFormat="false" ht="15" hidden="false" customHeight="false" outlineLevel="0" collapsed="false">
      <c r="A9" s="13" t="n">
        <v>46331</v>
      </c>
      <c r="B9" s="14" t="n">
        <f aca="false">INT((A9-$A$5)/7)+1</f>
        <v>1</v>
      </c>
      <c r="C9" s="14" t="s">
        <v>61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 t="str">
        <f aca="false">IF(COUNTA(D9:Y9)=0,"",COUNTIF(D9:Y9,"✅")/22)</f>
        <v/>
      </c>
      <c r="AC9" s="12"/>
      <c r="AD9" s="12"/>
      <c r="AE9" s="12"/>
    </row>
    <row r="10" customFormat="false" ht="15" hidden="false" customHeight="false" outlineLevel="0" collapsed="false">
      <c r="A10" s="13" t="n">
        <v>46332</v>
      </c>
      <c r="B10" s="14" t="n">
        <f aca="false">INT((A10-$A$5)/7)+1</f>
        <v>1</v>
      </c>
      <c r="C10" s="14" t="s">
        <v>62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 t="str">
        <f aca="false">IF(COUNTA(D10:Y10)=0,"",COUNTIF(D10:Y10,"✅")/22)</f>
        <v/>
      </c>
      <c r="AC10" s="12"/>
      <c r="AD10" s="12"/>
      <c r="AE10" s="12"/>
    </row>
    <row r="11" customFormat="false" ht="15" hidden="false" customHeight="false" outlineLevel="0" collapsed="false">
      <c r="A11" s="13" t="n">
        <v>46333</v>
      </c>
      <c r="B11" s="14" t="n">
        <f aca="false">INT((A11-$A$5)/7)+1</f>
        <v>1</v>
      </c>
      <c r="C11" s="14" t="s">
        <v>63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 t="str">
        <f aca="false">IF(COUNTA(D11:Y11)=0,"",COUNTIF(D11:Y11,"✅")/22)</f>
        <v/>
      </c>
      <c r="AC11" s="12"/>
      <c r="AD11" s="12"/>
      <c r="AE11" s="12"/>
    </row>
    <row r="12" customFormat="false" ht="15" hidden="false" customHeight="false" outlineLevel="0" collapsed="false">
      <c r="A12" s="8" t="n">
        <v>46334</v>
      </c>
      <c r="B12" s="9" t="n">
        <f aca="false">INT((A12-$A$5)/7)+1</f>
        <v>2</v>
      </c>
      <c r="C12" s="9" t="s">
        <v>52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 t="str">
        <f aca="false">IF(COUNTA(D12:Y12)=0,"",COUNTIF(D12:Y12,"✅")/22)</f>
        <v/>
      </c>
      <c r="AC12" s="12"/>
      <c r="AD12" s="12"/>
      <c r="AE12" s="12"/>
    </row>
    <row r="13" customFormat="false" ht="15" hidden="false" customHeight="false" outlineLevel="0" collapsed="false">
      <c r="A13" s="13" t="n">
        <v>46335</v>
      </c>
      <c r="B13" s="14" t="n">
        <f aca="false">INT((A13-$A$5)/7)+1</f>
        <v>2</v>
      </c>
      <c r="C13" s="14" t="s">
        <v>58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 t="str">
        <f aca="false">IF(COUNTA(D13:Y13)=0,"",COUNTIF(D13:Y13,"✅")/22)</f>
        <v/>
      </c>
      <c r="AC13" s="12"/>
      <c r="AD13" s="12"/>
      <c r="AE13" s="12"/>
    </row>
    <row r="14" customFormat="false" ht="15" hidden="false" customHeight="false" outlineLevel="0" collapsed="false">
      <c r="A14" s="13" t="n">
        <v>46336</v>
      </c>
      <c r="B14" s="14" t="n">
        <f aca="false">INT((A14-$A$5)/7)+1</f>
        <v>2</v>
      </c>
      <c r="C14" s="14" t="s">
        <v>59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 t="str">
        <f aca="false">IF(COUNTA(D14:Y14)=0,"",COUNTIF(D14:Y14,"✅")/22)</f>
        <v/>
      </c>
      <c r="AC14" s="12"/>
      <c r="AD14" s="12"/>
      <c r="AE14" s="12"/>
    </row>
    <row r="15" customFormat="false" ht="15" hidden="false" customHeight="false" outlineLevel="0" collapsed="false">
      <c r="A15" s="13" t="n">
        <v>46337</v>
      </c>
      <c r="B15" s="14" t="n">
        <f aca="false">INT((A15-$A$5)/7)+1</f>
        <v>2</v>
      </c>
      <c r="C15" s="14" t="s">
        <v>60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 t="str">
        <f aca="false">IF(COUNTA(D15:Y15)=0,"",COUNTIF(D15:Y15,"✅")/22)</f>
        <v/>
      </c>
      <c r="AC15" s="12"/>
      <c r="AD15" s="12"/>
      <c r="AE15" s="12"/>
    </row>
    <row r="16" customFormat="false" ht="15" hidden="false" customHeight="false" outlineLevel="0" collapsed="false">
      <c r="A16" s="13" t="n">
        <v>46338</v>
      </c>
      <c r="B16" s="14" t="n">
        <f aca="false">INT((A16-$A$5)/7)+1</f>
        <v>2</v>
      </c>
      <c r="C16" s="14" t="s">
        <v>61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 t="str">
        <f aca="false">IF(COUNTA(D16:Y16)=0,"",COUNTIF(D16:Y16,"✅")/22)</f>
        <v/>
      </c>
      <c r="AC16" s="12"/>
      <c r="AD16" s="12"/>
      <c r="AE16" s="12"/>
    </row>
    <row r="17" customFormat="false" ht="15" hidden="false" customHeight="false" outlineLevel="0" collapsed="false">
      <c r="A17" s="13" t="n">
        <v>46339</v>
      </c>
      <c r="B17" s="14" t="n">
        <f aca="false">INT((A17-$A$5)/7)+1</f>
        <v>2</v>
      </c>
      <c r="C17" s="14" t="s">
        <v>62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 t="str">
        <f aca="false">IF(COUNTA(D17:Y17)=0,"",COUNTIF(D17:Y17,"✅")/22)</f>
        <v/>
      </c>
      <c r="AC17" s="12"/>
      <c r="AD17" s="12"/>
      <c r="AE17" s="12"/>
    </row>
    <row r="18" customFormat="false" ht="15" hidden="false" customHeight="false" outlineLevel="0" collapsed="false">
      <c r="A18" s="13" t="n">
        <v>46340</v>
      </c>
      <c r="B18" s="14" t="n">
        <f aca="false">INT((A18-$A$5)/7)+1</f>
        <v>2</v>
      </c>
      <c r="C18" s="14" t="s">
        <v>63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 t="str">
        <f aca="false">IF(COUNTA(D18:Y18)=0,"",COUNTIF(D18:Y18,"✅")/22)</f>
        <v/>
      </c>
      <c r="AC18" s="12"/>
      <c r="AD18" s="12"/>
      <c r="AE18" s="12"/>
    </row>
    <row r="19" customFormat="false" ht="15" hidden="false" customHeight="false" outlineLevel="0" collapsed="false">
      <c r="A19" s="8" t="n">
        <v>46341</v>
      </c>
      <c r="B19" s="9" t="n">
        <f aca="false">INT((A19-$A$5)/7)+1</f>
        <v>3</v>
      </c>
      <c r="C19" s="9" t="s">
        <v>52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 t="str">
        <f aca="false">IF(COUNTA(D19:Y19)=0,"",COUNTIF(D19:Y19,"✅")/22)</f>
        <v/>
      </c>
      <c r="AC19" s="12"/>
      <c r="AD19" s="12"/>
      <c r="AE19" s="12"/>
    </row>
    <row r="20" customFormat="false" ht="15" hidden="false" customHeight="false" outlineLevel="0" collapsed="false">
      <c r="A20" s="13" t="n">
        <v>46342</v>
      </c>
      <c r="B20" s="14" t="n">
        <f aca="false">INT((A20-$A$5)/7)+1</f>
        <v>3</v>
      </c>
      <c r="C20" s="14" t="s">
        <v>58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 t="str">
        <f aca="false">IF(COUNTA(D20:Y20)=0,"",COUNTIF(D20:Y20,"✅")/22)</f>
        <v/>
      </c>
      <c r="AC20" s="12"/>
      <c r="AD20" s="12"/>
      <c r="AE20" s="12"/>
    </row>
    <row r="21" customFormat="false" ht="15" hidden="false" customHeight="false" outlineLevel="0" collapsed="false">
      <c r="A21" s="13" t="n">
        <v>46343</v>
      </c>
      <c r="B21" s="14" t="n">
        <f aca="false">INT((A21-$A$5)/7)+1</f>
        <v>3</v>
      </c>
      <c r="C21" s="14" t="s">
        <v>59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 t="str">
        <f aca="false">IF(COUNTA(D21:Y21)=0,"",COUNTIF(D21:Y21,"✅")/22)</f>
        <v/>
      </c>
      <c r="AC21" s="12"/>
      <c r="AD21" s="12"/>
      <c r="AE21" s="12"/>
    </row>
    <row r="22" customFormat="false" ht="15" hidden="false" customHeight="false" outlineLevel="0" collapsed="false">
      <c r="A22" s="13" t="n">
        <v>46344</v>
      </c>
      <c r="B22" s="14" t="n">
        <f aca="false">INT((A22-$A$5)/7)+1</f>
        <v>3</v>
      </c>
      <c r="C22" s="14" t="s">
        <v>60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 t="str">
        <f aca="false">IF(COUNTA(D22:Y22)=0,"",COUNTIF(D22:Y22,"✅")/22)</f>
        <v/>
      </c>
      <c r="AC22" s="12"/>
      <c r="AD22" s="12"/>
      <c r="AE22" s="12"/>
    </row>
    <row r="23" customFormat="false" ht="15" hidden="false" customHeight="false" outlineLevel="0" collapsed="false">
      <c r="A23" s="13" t="n">
        <v>46345</v>
      </c>
      <c r="B23" s="14" t="n">
        <f aca="false">INT((A23-$A$5)/7)+1</f>
        <v>3</v>
      </c>
      <c r="C23" s="14" t="s">
        <v>61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 t="str">
        <f aca="false">IF(COUNTA(D23:Y23)=0,"",COUNTIF(D23:Y23,"✅")/22)</f>
        <v/>
      </c>
      <c r="AC23" s="12"/>
      <c r="AD23" s="12"/>
      <c r="AE23" s="12"/>
    </row>
    <row r="24" customFormat="false" ht="15" hidden="false" customHeight="false" outlineLevel="0" collapsed="false">
      <c r="A24" s="13" t="n">
        <v>46346</v>
      </c>
      <c r="B24" s="14" t="n">
        <f aca="false">INT((A24-$A$5)/7)+1</f>
        <v>3</v>
      </c>
      <c r="C24" s="14" t="s">
        <v>62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 t="str">
        <f aca="false">IF(COUNTA(D24:Y24)=0,"",COUNTIF(D24:Y24,"✅")/22)</f>
        <v/>
      </c>
      <c r="AC24" s="12"/>
      <c r="AD24" s="12"/>
      <c r="AE24" s="12"/>
    </row>
    <row r="25" customFormat="false" ht="15" hidden="false" customHeight="false" outlineLevel="0" collapsed="false">
      <c r="A25" s="13" t="n">
        <v>46347</v>
      </c>
      <c r="B25" s="14" t="n">
        <f aca="false">INT((A25-$A$5)/7)+1</f>
        <v>3</v>
      </c>
      <c r="C25" s="14" t="s">
        <v>63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 t="str">
        <f aca="false">IF(COUNTA(D25:Y25)=0,"",COUNTIF(D25:Y25,"✅")/22)</f>
        <v/>
      </c>
      <c r="AC25" s="12"/>
      <c r="AD25" s="12"/>
      <c r="AE25" s="12"/>
    </row>
    <row r="26" customFormat="false" ht="15" hidden="false" customHeight="false" outlineLevel="0" collapsed="false">
      <c r="A26" s="8" t="n">
        <v>46348</v>
      </c>
      <c r="B26" s="9" t="n">
        <f aca="false">INT((A26-$A$5)/7)+1</f>
        <v>4</v>
      </c>
      <c r="C26" s="9" t="s">
        <v>52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 t="str">
        <f aca="false">IF(COUNTA(D26:Y26)=0,"",COUNTIF(D26:Y26,"✅")/22)</f>
        <v/>
      </c>
      <c r="AC26" s="12"/>
      <c r="AD26" s="12"/>
      <c r="AE26" s="12"/>
    </row>
    <row r="27" customFormat="false" ht="15" hidden="false" customHeight="false" outlineLevel="0" collapsed="false">
      <c r="A27" s="13" t="n">
        <v>46349</v>
      </c>
      <c r="B27" s="14" t="n">
        <f aca="false">INT((A27-$A$5)/7)+1</f>
        <v>4</v>
      </c>
      <c r="C27" s="14" t="s">
        <v>58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 t="str">
        <f aca="false">IF(COUNTA(D27:Y27)=0,"",COUNTIF(D27:Y27,"✅")/22)</f>
        <v/>
      </c>
      <c r="AC27" s="12"/>
      <c r="AD27" s="12"/>
      <c r="AE27" s="12"/>
    </row>
    <row r="28" customFormat="false" ht="15" hidden="false" customHeight="false" outlineLevel="0" collapsed="false">
      <c r="A28" s="13" t="n">
        <v>46350</v>
      </c>
      <c r="B28" s="14" t="n">
        <f aca="false">INT((A28-$A$5)/7)+1</f>
        <v>4</v>
      </c>
      <c r="C28" s="14" t="s">
        <v>59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 t="str">
        <f aca="false">IF(COUNTA(D28:Y28)=0,"",COUNTIF(D28:Y28,"✅")/22)</f>
        <v/>
      </c>
      <c r="AC28" s="12"/>
      <c r="AD28" s="12"/>
      <c r="AE28" s="12"/>
    </row>
    <row r="29" customFormat="false" ht="15" hidden="false" customHeight="false" outlineLevel="0" collapsed="false">
      <c r="A29" s="13" t="n">
        <v>46351</v>
      </c>
      <c r="B29" s="14" t="n">
        <f aca="false">INT((A29-$A$5)/7)+1</f>
        <v>4</v>
      </c>
      <c r="C29" s="14" t="s">
        <v>60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 t="str">
        <f aca="false">IF(COUNTA(D29:Y29)=0,"",COUNTIF(D29:Y29,"✅")/22)</f>
        <v/>
      </c>
      <c r="AC29" s="12"/>
      <c r="AD29" s="12"/>
      <c r="AE29" s="12"/>
    </row>
    <row r="30" customFormat="false" ht="15" hidden="false" customHeight="false" outlineLevel="0" collapsed="false">
      <c r="A30" s="13" t="n">
        <v>46352</v>
      </c>
      <c r="B30" s="14" t="n">
        <f aca="false">INT((A30-$A$5)/7)+1</f>
        <v>4</v>
      </c>
      <c r="C30" s="14" t="s">
        <v>61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 t="str">
        <f aca="false">IF(COUNTA(D30:Y30)=0,"",COUNTIF(D30:Y30,"✅")/22)</f>
        <v/>
      </c>
      <c r="AC30" s="12"/>
      <c r="AD30" s="12"/>
      <c r="AE30" s="12"/>
    </row>
    <row r="31" customFormat="false" ht="15" hidden="false" customHeight="false" outlineLevel="0" collapsed="false">
      <c r="A31" s="13" t="n">
        <v>46353</v>
      </c>
      <c r="B31" s="14" t="n">
        <f aca="false">INT((A31-$A$5)/7)+1</f>
        <v>4</v>
      </c>
      <c r="C31" s="14" t="s">
        <v>62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 t="str">
        <f aca="false">IF(COUNTA(D31:Y31)=0,"",COUNTIF(D31:Y31,"✅")/22)</f>
        <v/>
      </c>
      <c r="AC31" s="12"/>
      <c r="AD31" s="12"/>
      <c r="AE31" s="12"/>
    </row>
    <row r="32" customFormat="false" ht="15" hidden="false" customHeight="false" outlineLevel="0" collapsed="false">
      <c r="A32" s="13" t="n">
        <v>46354</v>
      </c>
      <c r="B32" s="14" t="n">
        <f aca="false">INT((A32-$A$5)/7)+1</f>
        <v>4</v>
      </c>
      <c r="C32" s="14" t="s">
        <v>63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 t="str">
        <f aca="false">IF(COUNTA(D32:Y32)=0,"",COUNTIF(D32:Y32,"✅")/22)</f>
        <v/>
      </c>
      <c r="AC32" s="12"/>
      <c r="AD32" s="12"/>
      <c r="AE32" s="12"/>
    </row>
    <row r="33" customFormat="false" ht="15" hidden="false" customHeight="false" outlineLevel="0" collapsed="false">
      <c r="A33" s="8" t="n">
        <v>46355</v>
      </c>
      <c r="B33" s="9" t="n">
        <f aca="false">INT((A33-$A$5)/7)+1</f>
        <v>5</v>
      </c>
      <c r="C33" s="9" t="s">
        <v>52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 t="str">
        <f aca="false">IF(COUNTA(D33:Y33)=0,"",COUNTIF(D33:Y33,"✅")/22)</f>
        <v/>
      </c>
      <c r="AC33" s="12"/>
      <c r="AD33" s="12"/>
      <c r="AE33" s="12"/>
    </row>
    <row r="34" customFormat="false" ht="15" hidden="false" customHeight="false" outlineLevel="0" collapsed="false">
      <c r="A34" s="13" t="n">
        <v>46356</v>
      </c>
      <c r="B34" s="14" t="n">
        <f aca="false">INT((A34-$A$5)/7)+1</f>
        <v>5</v>
      </c>
      <c r="C34" s="14" t="s">
        <v>58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 t="str">
        <f aca="false">IF(COUNTA(D34:Y34)=0,"",COUNTIF(D34:Y34,"✅")/22)</f>
        <v/>
      </c>
      <c r="AC34" s="12"/>
      <c r="AD34" s="12"/>
      <c r="AE34" s="12"/>
    </row>
    <row r="35" customFormat="false" ht="15" hidden="false" customHeight="false" outlineLevel="0" collapsed="false">
      <c r="A35" s="13" t="n">
        <v>46357</v>
      </c>
      <c r="B35" s="14" t="n">
        <f aca="false">INT((A35-$A$5)/7)+1</f>
        <v>5</v>
      </c>
      <c r="C35" s="14" t="s">
        <v>59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 t="str">
        <f aca="false">IF(COUNTA(D35:Y35)=0,"",COUNTIF(D35:Y35,"✅")/22)</f>
        <v/>
      </c>
      <c r="AC35" s="12"/>
      <c r="AD35" s="12"/>
      <c r="AE35" s="12"/>
    </row>
    <row r="36" customFormat="false" ht="15" hidden="false" customHeight="false" outlineLevel="0" collapsed="false">
      <c r="A36" s="13" t="n">
        <v>46358</v>
      </c>
      <c r="B36" s="14" t="n">
        <f aca="false">INT((A36-$A$5)/7)+1</f>
        <v>5</v>
      </c>
      <c r="C36" s="14" t="s">
        <v>60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 t="str">
        <f aca="false">IF(COUNTA(D36:Y36)=0,"",COUNTIF(D36:Y36,"✅")/22)</f>
        <v/>
      </c>
      <c r="AC36" s="12"/>
      <c r="AD36" s="12"/>
      <c r="AE36" s="12"/>
    </row>
    <row r="37" customFormat="false" ht="15" hidden="false" customHeight="false" outlineLevel="0" collapsed="false">
      <c r="A37" s="13" t="n">
        <v>46359</v>
      </c>
      <c r="B37" s="14" t="n">
        <f aca="false">INT((A37-$A$5)/7)+1</f>
        <v>5</v>
      </c>
      <c r="C37" s="14" t="s">
        <v>61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 t="str">
        <f aca="false">IF(COUNTA(D37:Y37)=0,"",COUNTIF(D37:Y37,"✅")/22)</f>
        <v/>
      </c>
      <c r="AC37" s="12"/>
      <c r="AD37" s="12"/>
      <c r="AE37" s="12"/>
    </row>
    <row r="38" customFormat="false" ht="15" hidden="false" customHeight="false" outlineLevel="0" collapsed="false">
      <c r="A38" s="13" t="n">
        <v>46360</v>
      </c>
      <c r="B38" s="14" t="n">
        <f aca="false">INT((A38-$A$5)/7)+1</f>
        <v>5</v>
      </c>
      <c r="C38" s="14" t="s">
        <v>62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 t="str">
        <f aca="false">IF(COUNTA(D38:Y38)=0,"",COUNTIF(D38:Y38,"✅")/22)</f>
        <v/>
      </c>
      <c r="AC38" s="12"/>
      <c r="AD38" s="12"/>
      <c r="AE38" s="12"/>
    </row>
    <row r="39" customFormat="false" ht="15" hidden="false" customHeight="false" outlineLevel="0" collapsed="false">
      <c r="A39" s="13" t="n">
        <v>46361</v>
      </c>
      <c r="B39" s="14" t="n">
        <f aca="false">INT((A39-$A$5)/7)+1</f>
        <v>5</v>
      </c>
      <c r="C39" s="14" t="s">
        <v>63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 t="str">
        <f aca="false">IF(COUNTA(D39:Y39)=0,"",COUNTIF(D39:Y39,"✅")/22)</f>
        <v/>
      </c>
      <c r="AC39" s="12"/>
      <c r="AD39" s="12"/>
      <c r="AE39" s="12"/>
    </row>
    <row r="40" customFormat="false" ht="15" hidden="false" customHeight="false" outlineLevel="0" collapsed="false">
      <c r="A40" s="8" t="n">
        <v>46362</v>
      </c>
      <c r="B40" s="9" t="n">
        <f aca="false">INT((A40-$A$5)/7)+1</f>
        <v>6</v>
      </c>
      <c r="C40" s="9" t="s">
        <v>52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 t="str">
        <f aca="false">IF(COUNTA(D40:Y40)=0,"",COUNTIF(D40:Y40,"✅")/22)</f>
        <v/>
      </c>
      <c r="AC40" s="12"/>
      <c r="AD40" s="12"/>
      <c r="AE40" s="12"/>
    </row>
    <row r="41" customFormat="false" ht="15" hidden="false" customHeight="false" outlineLevel="0" collapsed="false">
      <c r="A41" s="13" t="n">
        <v>46363</v>
      </c>
      <c r="B41" s="14" t="n">
        <f aca="false">INT((A41-$A$5)/7)+1</f>
        <v>6</v>
      </c>
      <c r="C41" s="14" t="s">
        <v>58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 t="str">
        <f aca="false">IF(COUNTA(D41:Y41)=0,"",COUNTIF(D41:Y41,"✅")/22)</f>
        <v/>
      </c>
      <c r="AC41" s="12"/>
      <c r="AD41" s="12"/>
      <c r="AE41" s="12"/>
    </row>
    <row r="42" customFormat="false" ht="15" hidden="false" customHeight="false" outlineLevel="0" collapsed="false">
      <c r="A42" s="13" t="n">
        <v>46364</v>
      </c>
      <c r="B42" s="14" t="n">
        <f aca="false">INT((A42-$A$5)/7)+1</f>
        <v>6</v>
      </c>
      <c r="C42" s="14" t="s">
        <v>59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 t="str">
        <f aca="false">IF(COUNTA(D42:Y42)=0,"",COUNTIF(D42:Y42,"✅")/22)</f>
        <v/>
      </c>
      <c r="AC42" s="12"/>
      <c r="AD42" s="12"/>
      <c r="AE42" s="12"/>
    </row>
    <row r="43" customFormat="false" ht="15" hidden="false" customHeight="false" outlineLevel="0" collapsed="false">
      <c r="A43" s="13" t="n">
        <v>46365</v>
      </c>
      <c r="B43" s="14" t="n">
        <f aca="false">INT((A43-$A$5)/7)+1</f>
        <v>6</v>
      </c>
      <c r="C43" s="14" t="s">
        <v>60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 t="str">
        <f aca="false">IF(COUNTA(D43:Y43)=0,"",COUNTIF(D43:Y43,"✅")/22)</f>
        <v/>
      </c>
      <c r="AC43" s="12"/>
      <c r="AD43" s="12"/>
      <c r="AE43" s="12"/>
    </row>
    <row r="44" customFormat="false" ht="15" hidden="false" customHeight="false" outlineLevel="0" collapsed="false">
      <c r="A44" s="13" t="n">
        <v>46366</v>
      </c>
      <c r="B44" s="14" t="n">
        <f aca="false">INT((A44-$A$5)/7)+1</f>
        <v>6</v>
      </c>
      <c r="C44" s="14" t="s">
        <v>61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 t="str">
        <f aca="false">IF(COUNTA(D44:Y44)=0,"",COUNTIF(D44:Y44,"✅")/22)</f>
        <v/>
      </c>
      <c r="AC44" s="12"/>
      <c r="AD44" s="12"/>
      <c r="AE44" s="12"/>
    </row>
    <row r="45" customFormat="false" ht="15" hidden="false" customHeight="false" outlineLevel="0" collapsed="false">
      <c r="A45" s="13" t="n">
        <v>46367</v>
      </c>
      <c r="B45" s="14" t="n">
        <f aca="false">INT((A45-$A$5)/7)+1</f>
        <v>6</v>
      </c>
      <c r="C45" s="14" t="s">
        <v>62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 t="str">
        <f aca="false">IF(COUNTA(D45:Y45)=0,"",COUNTIF(D45:Y45,"✅")/22)</f>
        <v/>
      </c>
      <c r="AC45" s="12"/>
      <c r="AD45" s="12"/>
      <c r="AE45" s="12"/>
    </row>
    <row r="46" customFormat="false" ht="15" hidden="false" customHeight="false" outlineLevel="0" collapsed="false">
      <c r="A46" s="13" t="n">
        <v>46368</v>
      </c>
      <c r="B46" s="14" t="n">
        <f aca="false">INT((A46-$A$5)/7)+1</f>
        <v>6</v>
      </c>
      <c r="C46" s="14" t="s">
        <v>63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 t="str">
        <f aca="false">IF(COUNTA(D46:Y46)=0,"",COUNTIF(D46:Y46,"✅")/22)</f>
        <v/>
      </c>
      <c r="AC46" s="12"/>
      <c r="AD46" s="12"/>
      <c r="AE46" s="12"/>
    </row>
    <row r="47" customFormat="false" ht="15" hidden="false" customHeight="false" outlineLevel="0" collapsed="false">
      <c r="A47" s="8" t="n">
        <v>46369</v>
      </c>
      <c r="B47" s="9" t="n">
        <f aca="false">INT((A47-$A$5)/7)+1</f>
        <v>7</v>
      </c>
      <c r="C47" s="9" t="s">
        <v>52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 t="str">
        <f aca="false">IF(COUNTA(D47:Y47)=0,"",COUNTIF(D47:Y47,"✅")/22)</f>
        <v/>
      </c>
      <c r="AC47" s="12"/>
      <c r="AD47" s="12"/>
      <c r="AE47" s="12"/>
    </row>
    <row r="48" customFormat="false" ht="15" hidden="false" customHeight="false" outlineLevel="0" collapsed="false">
      <c r="A48" s="13" t="n">
        <v>46370</v>
      </c>
      <c r="B48" s="14" t="n">
        <f aca="false">INT((A48-$A$5)/7)+1</f>
        <v>7</v>
      </c>
      <c r="C48" s="14" t="s">
        <v>58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 t="str">
        <f aca="false">IF(COUNTA(D48:Y48)=0,"",COUNTIF(D48:Y48,"✅")/22)</f>
        <v/>
      </c>
      <c r="AC48" s="12"/>
      <c r="AD48" s="12"/>
      <c r="AE48" s="12"/>
    </row>
    <row r="49" customFormat="false" ht="15" hidden="false" customHeight="false" outlineLevel="0" collapsed="false">
      <c r="A49" s="13" t="n">
        <v>46371</v>
      </c>
      <c r="B49" s="14" t="n">
        <f aca="false">INT((A49-$A$5)/7)+1</f>
        <v>7</v>
      </c>
      <c r="C49" s="14" t="s">
        <v>59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 t="str">
        <f aca="false">IF(COUNTA(D49:Y49)=0,"",COUNTIF(D49:Y49,"✅")/22)</f>
        <v/>
      </c>
      <c r="AC49" s="12"/>
      <c r="AD49" s="12"/>
      <c r="AE49" s="12"/>
    </row>
    <row r="50" customFormat="false" ht="15" hidden="false" customHeight="false" outlineLevel="0" collapsed="false">
      <c r="A50" s="13" t="n">
        <v>46372</v>
      </c>
      <c r="B50" s="14" t="n">
        <f aca="false">INT((A50-$A$5)/7)+1</f>
        <v>7</v>
      </c>
      <c r="C50" s="14" t="s">
        <v>60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 t="str">
        <f aca="false">IF(COUNTA(D50:Y50)=0,"",COUNTIF(D50:Y50,"✅")/22)</f>
        <v/>
      </c>
      <c r="AC50" s="12"/>
      <c r="AD50" s="12"/>
      <c r="AE50" s="12"/>
    </row>
    <row r="51" customFormat="false" ht="15" hidden="false" customHeight="false" outlineLevel="0" collapsed="false">
      <c r="A51" s="13" t="n">
        <v>46373</v>
      </c>
      <c r="B51" s="14" t="n">
        <f aca="false">INT((A51-$A$5)/7)+1</f>
        <v>7</v>
      </c>
      <c r="C51" s="14" t="s">
        <v>61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 t="str">
        <f aca="false">IF(COUNTA(D51:Y51)=0,"",COUNTIF(D51:Y51,"✅")/22)</f>
        <v/>
      </c>
      <c r="AC51" s="12"/>
      <c r="AD51" s="12"/>
      <c r="AE51" s="12"/>
    </row>
    <row r="52" customFormat="false" ht="15" hidden="false" customHeight="false" outlineLevel="0" collapsed="false">
      <c r="A52" s="13" t="n">
        <v>46374</v>
      </c>
      <c r="B52" s="14" t="n">
        <f aca="false">INT((A52-$A$5)/7)+1</f>
        <v>7</v>
      </c>
      <c r="C52" s="14" t="s">
        <v>62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 t="str">
        <f aca="false">IF(COUNTA(D52:Y52)=0,"",COUNTIF(D52:Y52,"✅")/22)</f>
        <v/>
      </c>
      <c r="AC52" s="12"/>
      <c r="AD52" s="12"/>
      <c r="AE52" s="12"/>
    </row>
    <row r="53" customFormat="false" ht="15" hidden="false" customHeight="false" outlineLevel="0" collapsed="false">
      <c r="A53" s="13" t="n">
        <v>46375</v>
      </c>
      <c r="B53" s="14" t="n">
        <f aca="false">INT((A53-$A$5)/7)+1</f>
        <v>7</v>
      </c>
      <c r="C53" s="14" t="s">
        <v>63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 t="str">
        <f aca="false">IF(COUNTA(D53:Y53)=0,"",COUNTIF(D53:Y53,"✅")/22)</f>
        <v/>
      </c>
      <c r="AC53" s="12"/>
      <c r="AD53" s="12"/>
      <c r="AE53" s="12"/>
    </row>
    <row r="54" customFormat="false" ht="15" hidden="false" customHeight="false" outlineLevel="0" collapsed="false">
      <c r="A54" s="8" t="n">
        <v>46376</v>
      </c>
      <c r="B54" s="9" t="n">
        <f aca="false">INT((A54-$A$5)/7)+1</f>
        <v>8</v>
      </c>
      <c r="C54" s="9" t="s">
        <v>52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 t="str">
        <f aca="false">IF(COUNTA(D54:Y54)=0,"",COUNTIF(D54:Y54,"✅")/22)</f>
        <v/>
      </c>
      <c r="AC54" s="12"/>
      <c r="AD54" s="12"/>
      <c r="AE54" s="12"/>
    </row>
    <row r="55" customFormat="false" ht="15" hidden="false" customHeight="false" outlineLevel="0" collapsed="false">
      <c r="A55" s="13" t="n">
        <v>46377</v>
      </c>
      <c r="B55" s="14" t="n">
        <f aca="false">INT((A55-$A$5)/7)+1</f>
        <v>8</v>
      </c>
      <c r="C55" s="14" t="s">
        <v>58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 t="str">
        <f aca="false">IF(COUNTA(D55:Y55)=0,"",COUNTIF(D55:Y55,"✅")/22)</f>
        <v/>
      </c>
      <c r="AC55" s="12"/>
      <c r="AD55" s="12"/>
      <c r="AE55" s="12"/>
    </row>
    <row r="56" customFormat="false" ht="15" hidden="false" customHeight="false" outlineLevel="0" collapsed="false">
      <c r="A56" s="13" t="n">
        <v>46378</v>
      </c>
      <c r="B56" s="14" t="n">
        <f aca="false">INT((A56-$A$5)/7)+1</f>
        <v>8</v>
      </c>
      <c r="C56" s="14" t="s">
        <v>59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 t="str">
        <f aca="false">IF(COUNTA(D56:Y56)=0,"",COUNTIF(D56:Y56,"✅")/22)</f>
        <v/>
      </c>
      <c r="AC56" s="12"/>
      <c r="AD56" s="12"/>
      <c r="AE56" s="12"/>
    </row>
    <row r="57" customFormat="false" ht="15" hidden="false" customHeight="false" outlineLevel="0" collapsed="false">
      <c r="A57" s="13" t="n">
        <v>46379</v>
      </c>
      <c r="B57" s="14" t="n">
        <f aca="false">INT((A57-$A$5)/7)+1</f>
        <v>8</v>
      </c>
      <c r="C57" s="14" t="s">
        <v>60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 t="str">
        <f aca="false">IF(COUNTA(D57:Y57)=0,"",COUNTIF(D57:Y57,"✅")/22)</f>
        <v/>
      </c>
      <c r="AC57" s="12"/>
      <c r="AD57" s="12"/>
      <c r="AE57" s="12"/>
    </row>
    <row r="58" customFormat="false" ht="15" hidden="false" customHeight="false" outlineLevel="0" collapsed="false">
      <c r="A58" s="13" t="n">
        <v>46380</v>
      </c>
      <c r="B58" s="14" t="n">
        <f aca="false">INT((A58-$A$5)/7)+1</f>
        <v>8</v>
      </c>
      <c r="C58" s="14" t="s">
        <v>61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 t="str">
        <f aca="false">IF(COUNTA(D58:Y58)=0,"",COUNTIF(D58:Y58,"✅")/22)</f>
        <v/>
      </c>
      <c r="AC58" s="12"/>
      <c r="AD58" s="12"/>
      <c r="AE58" s="12"/>
    </row>
    <row r="59" customFormat="false" ht="15" hidden="false" customHeight="false" outlineLevel="0" collapsed="false">
      <c r="A59" s="13" t="n">
        <v>46381</v>
      </c>
      <c r="B59" s="14" t="n">
        <f aca="false">INT((A59-$A$5)/7)+1</f>
        <v>8</v>
      </c>
      <c r="C59" s="14" t="s">
        <v>62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 t="str">
        <f aca="false">IF(COUNTA(D59:Y59)=0,"",COUNTIF(D59:Y59,"✅")/22)</f>
        <v/>
      </c>
      <c r="AC59" s="12"/>
      <c r="AD59" s="12"/>
      <c r="AE59" s="12"/>
    </row>
    <row r="60" customFormat="false" ht="15" hidden="false" customHeight="false" outlineLevel="0" collapsed="false">
      <c r="A60" s="13" t="n">
        <v>46382</v>
      </c>
      <c r="B60" s="14" t="n">
        <f aca="false">INT((A60-$A$5)/7)+1</f>
        <v>8</v>
      </c>
      <c r="C60" s="14" t="s">
        <v>63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 t="str">
        <f aca="false">IF(COUNTA(D60:Y60)=0,"",COUNTIF(D60:Y60,"✅")/22)</f>
        <v/>
      </c>
      <c r="AC60" s="12"/>
      <c r="AD60" s="12"/>
      <c r="AE60" s="12"/>
    </row>
    <row r="61" customFormat="false" ht="15" hidden="false" customHeight="false" outlineLevel="0" collapsed="false">
      <c r="A61" s="8" t="n">
        <v>46383</v>
      </c>
      <c r="B61" s="9" t="n">
        <f aca="false">INT((A61-$A$5)/7)+1</f>
        <v>9</v>
      </c>
      <c r="C61" s="9" t="s">
        <v>52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 t="str">
        <f aca="false">IF(COUNTA(D61:Y61)=0,"",COUNTIF(D61:Y61,"✅")/22)</f>
        <v/>
      </c>
      <c r="AC61" s="12"/>
      <c r="AD61" s="12"/>
      <c r="AE61" s="12"/>
    </row>
    <row r="62" customFormat="false" ht="15" hidden="false" customHeight="false" outlineLevel="0" collapsed="false">
      <c r="A62" s="13" t="n">
        <v>46384</v>
      </c>
      <c r="B62" s="14" t="n">
        <f aca="false">INT((A62-$A$5)/7)+1</f>
        <v>9</v>
      </c>
      <c r="C62" s="14" t="s">
        <v>58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 t="str">
        <f aca="false">IF(COUNTA(D62:Y62)=0,"",COUNTIF(D62:Y62,"✅")/22)</f>
        <v/>
      </c>
      <c r="AC62" s="12"/>
      <c r="AD62" s="12"/>
      <c r="AE62" s="12"/>
    </row>
    <row r="63" customFormat="false" ht="15" hidden="false" customHeight="false" outlineLevel="0" collapsed="false">
      <c r="A63" s="13" t="n">
        <v>46385</v>
      </c>
      <c r="B63" s="14" t="n">
        <f aca="false">INT((A63-$A$5)/7)+1</f>
        <v>9</v>
      </c>
      <c r="C63" s="14" t="s">
        <v>59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 t="str">
        <f aca="false">IF(COUNTA(D63:Y63)=0,"",COUNTIF(D63:Y63,"✅")/22)</f>
        <v/>
      </c>
      <c r="AC63" s="12"/>
      <c r="AD63" s="12"/>
      <c r="AE63" s="12"/>
    </row>
    <row r="64" customFormat="false" ht="15" hidden="false" customHeight="false" outlineLevel="0" collapsed="false">
      <c r="A64" s="13" t="n">
        <v>46386</v>
      </c>
      <c r="B64" s="14" t="n">
        <f aca="false">INT((A64-$A$5)/7)+1</f>
        <v>9</v>
      </c>
      <c r="C64" s="14" t="s">
        <v>60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 t="str">
        <f aca="false">IF(COUNTA(D64:Y64)=0,"",COUNTIF(D64:Y64,"✅")/22)</f>
        <v/>
      </c>
      <c r="AC64" s="12"/>
      <c r="AD64" s="12"/>
      <c r="AE64" s="12"/>
    </row>
    <row r="65" customFormat="false" ht="15" hidden="false" customHeight="false" outlineLevel="0" collapsed="false">
      <c r="A65" s="13" t="n">
        <v>46387</v>
      </c>
      <c r="B65" s="14" t="n">
        <f aca="false">INT((A65-$A$5)/7)+1</f>
        <v>9</v>
      </c>
      <c r="C65" s="14" t="s">
        <v>61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 t="str">
        <f aca="false">IF(COUNTA(D65:Y65)=0,"",COUNTIF(D65:Y65,"✅")/22)</f>
        <v/>
      </c>
      <c r="AC65" s="12"/>
      <c r="AD65" s="12"/>
      <c r="AE65" s="12"/>
    </row>
    <row r="66" customFormat="false" ht="15" hidden="false" customHeight="false" outlineLevel="0" collapsed="false">
      <c r="A66" s="13" t="n">
        <v>46388</v>
      </c>
      <c r="B66" s="14" t="n">
        <f aca="false">INT((A66-$A$5)/7)+1</f>
        <v>9</v>
      </c>
      <c r="C66" s="14" t="s">
        <v>62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 t="str">
        <f aca="false">IF(COUNTA(D66:Y66)=0,"",COUNTIF(D66:Y66,"✅")/22)</f>
        <v/>
      </c>
      <c r="AC66" s="12"/>
      <c r="AD66" s="12"/>
      <c r="AE66" s="12"/>
    </row>
    <row r="67" customFormat="false" ht="15" hidden="false" customHeight="false" outlineLevel="0" collapsed="false">
      <c r="A67" s="13" t="n">
        <v>46389</v>
      </c>
      <c r="B67" s="14" t="n">
        <f aca="false">INT((A67-$A$5)/7)+1</f>
        <v>9</v>
      </c>
      <c r="C67" s="14" t="s">
        <v>63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 t="str">
        <f aca="false">IF(COUNTA(D67:Y67)=0,"",COUNTIF(D67:Y67,"✅")/22)</f>
        <v/>
      </c>
      <c r="AC67" s="12"/>
      <c r="AD67" s="12"/>
      <c r="AE67" s="12"/>
    </row>
  </sheetData>
  <mergeCells count="2">
    <mergeCell ref="A1:AE1"/>
    <mergeCell ref="A2:AE2"/>
  </mergeCells>
  <conditionalFormatting sqref="D5:AA67">
    <cfRule type="cellIs" priority="2" operator="equal" aboveAverage="0" equalAverage="0" bottom="0" percent="0" rank="0" text="" dxfId="0">
      <formula>"✅"</formula>
    </cfRule>
    <cfRule type="cellIs" priority="3" operator="equal" aboveAverage="0" equalAverage="0" bottom="0" percent="0" rank="0" text="" dxfId="1">
      <formula>"❌"</formula>
    </cfRule>
  </conditionalFormatting>
  <conditionalFormatting sqref="AB5:AB67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Z5:Z67">
    <cfRule type="expression" priority="5" aboveAverage="0" equalAverage="0" bottom="0" percent="0" rank="0" text="" dxfId="0">
      <formula>AND(Z5&lt;&gt;"",Z5&gt;=2)</formula>
    </cfRule>
    <cfRule type="expression" priority="6" aboveAverage="0" equalAverage="0" bottom="0" percent="0" rank="0" text="" dxfId="1">
      <formula>AND(Z5&lt;&gt;"",Z5&lt;2)</formula>
    </cfRule>
  </conditionalFormatting>
  <conditionalFormatting sqref="AA5:AA67">
    <cfRule type="expression" priority="7" aboveAverage="0" equalAverage="0" bottom="0" percent="0" rank="0" text="" dxfId="0">
      <formula>AND(AA5&lt;&gt;"",AA5&gt;=20)</formula>
    </cfRule>
    <cfRule type="expression" priority="8" aboveAverage="0" equalAverage="0" bottom="0" percent="0" rank="0" text="" dxfId="1">
      <formula>AND(AA5&lt;&gt;"",AA5&lt;20)</formula>
    </cfRule>
  </conditionalFormatting>
  <dataValidations count="2">
    <dataValidation allowBlank="true" errorStyle="stop" operator="between" showDropDown="false" showErrorMessage="false" showInputMessage="false" sqref="Z5:AA67" type="decimal">
      <formula1>0</formula1>
      <formula2>24</formula2>
    </dataValidation>
    <dataValidation allowBlank="true" errorStyle="stop" operator="between" showDropDown="false" showErrorMessage="false" showInputMessage="false" sqref="D5:Y67" type="list">
      <formula1>"✅,❌"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27" min="4" style="0" width="9"/>
    <col collapsed="false" customWidth="true" hidden="false" outlineLevel="0" max="28" min="28" style="0" width="8"/>
    <col collapsed="false" customWidth="true" hidden="false" outlineLevel="0" max="31" min="29" style="0" width="30"/>
  </cols>
  <sheetData>
    <row r="1" customFormat="false" ht="27.75" hidden="false" customHeight="true" outlineLevel="0" collapsed="false">
      <c r="A1" s="5" t="s">
        <v>65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customFormat="false" ht="15" hidden="false" customHeight="false" outlineLevel="0" collapsed="false">
      <c r="A2" s="6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4" customFormat="false" ht="42" hidden="false" customHeight="true" outlineLevel="0" collapsed="false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32</v>
      </c>
      <c r="M4" s="7" t="s">
        <v>33</v>
      </c>
      <c r="N4" s="7" t="s">
        <v>34</v>
      </c>
      <c r="O4" s="7" t="s">
        <v>35</v>
      </c>
      <c r="P4" s="7" t="s">
        <v>36</v>
      </c>
      <c r="Q4" s="7" t="s">
        <v>37</v>
      </c>
      <c r="R4" s="7" t="s">
        <v>38</v>
      </c>
      <c r="S4" s="7" t="s">
        <v>39</v>
      </c>
      <c r="T4" s="7" t="s">
        <v>40</v>
      </c>
      <c r="U4" s="7" t="s">
        <v>41</v>
      </c>
      <c r="V4" s="7" t="s">
        <v>42</v>
      </c>
      <c r="W4" s="7" t="s">
        <v>43</v>
      </c>
      <c r="X4" s="7" t="s">
        <v>44</v>
      </c>
      <c r="Y4" s="7" t="s">
        <v>45</v>
      </c>
      <c r="Z4" s="7" t="s">
        <v>46</v>
      </c>
      <c r="AA4" s="7" t="s">
        <v>47</v>
      </c>
      <c r="AB4" s="7" t="s">
        <v>48</v>
      </c>
      <c r="AC4" s="7" t="s">
        <v>49</v>
      </c>
      <c r="AD4" s="7" t="s">
        <v>50</v>
      </c>
      <c r="AE4" s="7" t="s">
        <v>51</v>
      </c>
    </row>
    <row r="5" customFormat="false" ht="15" hidden="false" customHeight="false" outlineLevel="0" collapsed="false">
      <c r="A5" s="8" t="n">
        <v>46327</v>
      </c>
      <c r="B5" s="9" t="n">
        <f aca="false">INT((A5-$A$5)/7)+1</f>
        <v>1</v>
      </c>
      <c r="C5" s="9" t="s">
        <v>52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1" t="str">
        <f aca="false">IF(COUNTA(D5:Y5)=0,"",COUNTIF(D5:Y5,"✅")/22)</f>
        <v/>
      </c>
      <c r="AC5" s="12"/>
      <c r="AD5" s="12"/>
      <c r="AE5" s="12"/>
    </row>
    <row r="6" customFormat="false" ht="15" hidden="false" customHeight="false" outlineLevel="0" collapsed="false">
      <c r="A6" s="13" t="n">
        <v>46328</v>
      </c>
      <c r="B6" s="14" t="n">
        <f aca="false">INT((A6-$A$5)/7)+1</f>
        <v>1</v>
      </c>
      <c r="C6" s="14" t="s">
        <v>58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 t="str">
        <f aca="false">IF(COUNTA(D6:Y6)=0,"",COUNTIF(D6:Y6,"✅")/22)</f>
        <v/>
      </c>
      <c r="AC6" s="12"/>
      <c r="AD6" s="12"/>
      <c r="AE6" s="12"/>
    </row>
    <row r="7" customFormat="false" ht="15" hidden="false" customHeight="false" outlineLevel="0" collapsed="false">
      <c r="A7" s="13" t="n">
        <v>46329</v>
      </c>
      <c r="B7" s="14" t="n">
        <f aca="false">INT((A7-$A$5)/7)+1</f>
        <v>1</v>
      </c>
      <c r="C7" s="14" t="s">
        <v>59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 t="str">
        <f aca="false">IF(COUNTA(D7:Y7)=0,"",COUNTIF(D7:Y7,"✅")/22)</f>
        <v/>
      </c>
      <c r="AC7" s="12"/>
      <c r="AD7" s="12"/>
      <c r="AE7" s="12"/>
    </row>
    <row r="8" customFormat="false" ht="15" hidden="false" customHeight="false" outlineLevel="0" collapsed="false">
      <c r="A8" s="13" t="n">
        <v>46330</v>
      </c>
      <c r="B8" s="14" t="n">
        <f aca="false">INT((A8-$A$5)/7)+1</f>
        <v>1</v>
      </c>
      <c r="C8" s="14" t="s">
        <v>60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 t="str">
        <f aca="false">IF(COUNTA(D8:Y8)=0,"",COUNTIF(D8:Y8,"✅")/22)</f>
        <v/>
      </c>
      <c r="AC8" s="12"/>
      <c r="AD8" s="12"/>
      <c r="AE8" s="12"/>
    </row>
    <row r="9" customFormat="false" ht="15" hidden="false" customHeight="false" outlineLevel="0" collapsed="false">
      <c r="A9" s="13" t="n">
        <v>46331</v>
      </c>
      <c r="B9" s="14" t="n">
        <f aca="false">INT((A9-$A$5)/7)+1</f>
        <v>1</v>
      </c>
      <c r="C9" s="14" t="s">
        <v>61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 t="str">
        <f aca="false">IF(COUNTA(D9:Y9)=0,"",COUNTIF(D9:Y9,"✅")/22)</f>
        <v/>
      </c>
      <c r="AC9" s="12"/>
      <c r="AD9" s="12"/>
      <c r="AE9" s="12"/>
    </row>
    <row r="10" customFormat="false" ht="15" hidden="false" customHeight="false" outlineLevel="0" collapsed="false">
      <c r="A10" s="13" t="n">
        <v>46332</v>
      </c>
      <c r="B10" s="14" t="n">
        <f aca="false">INT((A10-$A$5)/7)+1</f>
        <v>1</v>
      </c>
      <c r="C10" s="14" t="s">
        <v>62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 t="str">
        <f aca="false">IF(COUNTA(D10:Y10)=0,"",COUNTIF(D10:Y10,"✅")/22)</f>
        <v/>
      </c>
      <c r="AC10" s="12"/>
      <c r="AD10" s="12"/>
      <c r="AE10" s="12"/>
    </row>
    <row r="11" customFormat="false" ht="15" hidden="false" customHeight="false" outlineLevel="0" collapsed="false">
      <c r="A11" s="13" t="n">
        <v>46333</v>
      </c>
      <c r="B11" s="14" t="n">
        <f aca="false">INT((A11-$A$5)/7)+1</f>
        <v>1</v>
      </c>
      <c r="C11" s="14" t="s">
        <v>63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 t="str">
        <f aca="false">IF(COUNTA(D11:Y11)=0,"",COUNTIF(D11:Y11,"✅")/22)</f>
        <v/>
      </c>
      <c r="AC11" s="12"/>
      <c r="AD11" s="12"/>
      <c r="AE11" s="12"/>
    </row>
    <row r="12" customFormat="false" ht="15" hidden="false" customHeight="false" outlineLevel="0" collapsed="false">
      <c r="A12" s="8" t="n">
        <v>46334</v>
      </c>
      <c r="B12" s="9" t="n">
        <f aca="false">INT((A12-$A$5)/7)+1</f>
        <v>2</v>
      </c>
      <c r="C12" s="9" t="s">
        <v>52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 t="str">
        <f aca="false">IF(COUNTA(D12:Y12)=0,"",COUNTIF(D12:Y12,"✅")/22)</f>
        <v/>
      </c>
      <c r="AC12" s="12"/>
      <c r="AD12" s="12"/>
      <c r="AE12" s="12"/>
    </row>
    <row r="13" customFormat="false" ht="15" hidden="false" customHeight="false" outlineLevel="0" collapsed="false">
      <c r="A13" s="13" t="n">
        <v>46335</v>
      </c>
      <c r="B13" s="14" t="n">
        <f aca="false">INT((A13-$A$5)/7)+1</f>
        <v>2</v>
      </c>
      <c r="C13" s="14" t="s">
        <v>58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 t="str">
        <f aca="false">IF(COUNTA(D13:Y13)=0,"",COUNTIF(D13:Y13,"✅")/22)</f>
        <v/>
      </c>
      <c r="AC13" s="12"/>
      <c r="AD13" s="12"/>
      <c r="AE13" s="12"/>
    </row>
    <row r="14" customFormat="false" ht="15" hidden="false" customHeight="false" outlineLevel="0" collapsed="false">
      <c r="A14" s="13" t="n">
        <v>46336</v>
      </c>
      <c r="B14" s="14" t="n">
        <f aca="false">INT((A14-$A$5)/7)+1</f>
        <v>2</v>
      </c>
      <c r="C14" s="14" t="s">
        <v>59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 t="str">
        <f aca="false">IF(COUNTA(D14:Y14)=0,"",COUNTIF(D14:Y14,"✅")/22)</f>
        <v/>
      </c>
      <c r="AC14" s="12"/>
      <c r="AD14" s="12"/>
      <c r="AE14" s="12"/>
    </row>
    <row r="15" customFormat="false" ht="15" hidden="false" customHeight="false" outlineLevel="0" collapsed="false">
      <c r="A15" s="13" t="n">
        <v>46337</v>
      </c>
      <c r="B15" s="14" t="n">
        <f aca="false">INT((A15-$A$5)/7)+1</f>
        <v>2</v>
      </c>
      <c r="C15" s="14" t="s">
        <v>60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 t="str">
        <f aca="false">IF(COUNTA(D15:Y15)=0,"",COUNTIF(D15:Y15,"✅")/22)</f>
        <v/>
      </c>
      <c r="AC15" s="12"/>
      <c r="AD15" s="12"/>
      <c r="AE15" s="12"/>
    </row>
    <row r="16" customFormat="false" ht="15" hidden="false" customHeight="false" outlineLevel="0" collapsed="false">
      <c r="A16" s="13" t="n">
        <v>46338</v>
      </c>
      <c r="B16" s="14" t="n">
        <f aca="false">INT((A16-$A$5)/7)+1</f>
        <v>2</v>
      </c>
      <c r="C16" s="14" t="s">
        <v>61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 t="str">
        <f aca="false">IF(COUNTA(D16:Y16)=0,"",COUNTIF(D16:Y16,"✅")/22)</f>
        <v/>
      </c>
      <c r="AC16" s="12"/>
      <c r="AD16" s="12"/>
      <c r="AE16" s="12"/>
    </row>
    <row r="17" customFormat="false" ht="15" hidden="false" customHeight="false" outlineLevel="0" collapsed="false">
      <c r="A17" s="13" t="n">
        <v>46339</v>
      </c>
      <c r="B17" s="14" t="n">
        <f aca="false">INT((A17-$A$5)/7)+1</f>
        <v>2</v>
      </c>
      <c r="C17" s="14" t="s">
        <v>62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 t="str">
        <f aca="false">IF(COUNTA(D17:Y17)=0,"",COUNTIF(D17:Y17,"✅")/22)</f>
        <v/>
      </c>
      <c r="AC17" s="12"/>
      <c r="AD17" s="12"/>
      <c r="AE17" s="12"/>
    </row>
    <row r="18" customFormat="false" ht="15" hidden="false" customHeight="false" outlineLevel="0" collapsed="false">
      <c r="A18" s="13" t="n">
        <v>46340</v>
      </c>
      <c r="B18" s="14" t="n">
        <f aca="false">INT((A18-$A$5)/7)+1</f>
        <v>2</v>
      </c>
      <c r="C18" s="14" t="s">
        <v>63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 t="str">
        <f aca="false">IF(COUNTA(D18:Y18)=0,"",COUNTIF(D18:Y18,"✅")/22)</f>
        <v/>
      </c>
      <c r="AC18" s="12"/>
      <c r="AD18" s="12"/>
      <c r="AE18" s="12"/>
    </row>
    <row r="19" customFormat="false" ht="15" hidden="false" customHeight="false" outlineLevel="0" collapsed="false">
      <c r="A19" s="8" t="n">
        <v>46341</v>
      </c>
      <c r="B19" s="9" t="n">
        <f aca="false">INT((A19-$A$5)/7)+1</f>
        <v>3</v>
      </c>
      <c r="C19" s="9" t="s">
        <v>52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 t="str">
        <f aca="false">IF(COUNTA(D19:Y19)=0,"",COUNTIF(D19:Y19,"✅")/22)</f>
        <v/>
      </c>
      <c r="AC19" s="12"/>
      <c r="AD19" s="12"/>
      <c r="AE19" s="12"/>
    </row>
    <row r="20" customFormat="false" ht="15" hidden="false" customHeight="false" outlineLevel="0" collapsed="false">
      <c r="A20" s="13" t="n">
        <v>46342</v>
      </c>
      <c r="B20" s="14" t="n">
        <f aca="false">INT((A20-$A$5)/7)+1</f>
        <v>3</v>
      </c>
      <c r="C20" s="14" t="s">
        <v>58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 t="str">
        <f aca="false">IF(COUNTA(D20:Y20)=0,"",COUNTIF(D20:Y20,"✅")/22)</f>
        <v/>
      </c>
      <c r="AC20" s="12"/>
      <c r="AD20" s="12"/>
      <c r="AE20" s="12"/>
    </row>
    <row r="21" customFormat="false" ht="15" hidden="false" customHeight="false" outlineLevel="0" collapsed="false">
      <c r="A21" s="13" t="n">
        <v>46343</v>
      </c>
      <c r="B21" s="14" t="n">
        <f aca="false">INT((A21-$A$5)/7)+1</f>
        <v>3</v>
      </c>
      <c r="C21" s="14" t="s">
        <v>59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 t="str">
        <f aca="false">IF(COUNTA(D21:Y21)=0,"",COUNTIF(D21:Y21,"✅")/22)</f>
        <v/>
      </c>
      <c r="AC21" s="12"/>
      <c r="AD21" s="12"/>
      <c r="AE21" s="12"/>
    </row>
    <row r="22" customFormat="false" ht="15" hidden="false" customHeight="false" outlineLevel="0" collapsed="false">
      <c r="A22" s="13" t="n">
        <v>46344</v>
      </c>
      <c r="B22" s="14" t="n">
        <f aca="false">INT((A22-$A$5)/7)+1</f>
        <v>3</v>
      </c>
      <c r="C22" s="14" t="s">
        <v>60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 t="str">
        <f aca="false">IF(COUNTA(D22:Y22)=0,"",COUNTIF(D22:Y22,"✅")/22)</f>
        <v/>
      </c>
      <c r="AC22" s="12"/>
      <c r="AD22" s="12"/>
      <c r="AE22" s="12"/>
    </row>
    <row r="23" customFormat="false" ht="15" hidden="false" customHeight="false" outlineLevel="0" collapsed="false">
      <c r="A23" s="13" t="n">
        <v>46345</v>
      </c>
      <c r="B23" s="14" t="n">
        <f aca="false">INT((A23-$A$5)/7)+1</f>
        <v>3</v>
      </c>
      <c r="C23" s="14" t="s">
        <v>61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 t="str">
        <f aca="false">IF(COUNTA(D23:Y23)=0,"",COUNTIF(D23:Y23,"✅")/22)</f>
        <v/>
      </c>
      <c r="AC23" s="12"/>
      <c r="AD23" s="12"/>
      <c r="AE23" s="12"/>
    </row>
    <row r="24" customFormat="false" ht="15" hidden="false" customHeight="false" outlineLevel="0" collapsed="false">
      <c r="A24" s="13" t="n">
        <v>46346</v>
      </c>
      <c r="B24" s="14" t="n">
        <f aca="false">INT((A24-$A$5)/7)+1</f>
        <v>3</v>
      </c>
      <c r="C24" s="14" t="s">
        <v>62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 t="str">
        <f aca="false">IF(COUNTA(D24:Y24)=0,"",COUNTIF(D24:Y24,"✅")/22)</f>
        <v/>
      </c>
      <c r="AC24" s="12"/>
      <c r="AD24" s="12"/>
      <c r="AE24" s="12"/>
    </row>
    <row r="25" customFormat="false" ht="15" hidden="false" customHeight="false" outlineLevel="0" collapsed="false">
      <c r="A25" s="13" t="n">
        <v>46347</v>
      </c>
      <c r="B25" s="14" t="n">
        <f aca="false">INT((A25-$A$5)/7)+1</f>
        <v>3</v>
      </c>
      <c r="C25" s="14" t="s">
        <v>63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 t="str">
        <f aca="false">IF(COUNTA(D25:Y25)=0,"",COUNTIF(D25:Y25,"✅")/22)</f>
        <v/>
      </c>
      <c r="AC25" s="12"/>
      <c r="AD25" s="12"/>
      <c r="AE25" s="12"/>
    </row>
    <row r="26" customFormat="false" ht="15" hidden="false" customHeight="false" outlineLevel="0" collapsed="false">
      <c r="A26" s="8" t="n">
        <v>46348</v>
      </c>
      <c r="B26" s="9" t="n">
        <f aca="false">INT((A26-$A$5)/7)+1</f>
        <v>4</v>
      </c>
      <c r="C26" s="9" t="s">
        <v>52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 t="str">
        <f aca="false">IF(COUNTA(D26:Y26)=0,"",COUNTIF(D26:Y26,"✅")/22)</f>
        <v/>
      </c>
      <c r="AC26" s="12"/>
      <c r="AD26" s="12"/>
      <c r="AE26" s="12"/>
    </row>
    <row r="27" customFormat="false" ht="15" hidden="false" customHeight="false" outlineLevel="0" collapsed="false">
      <c r="A27" s="13" t="n">
        <v>46349</v>
      </c>
      <c r="B27" s="14" t="n">
        <f aca="false">INT((A27-$A$5)/7)+1</f>
        <v>4</v>
      </c>
      <c r="C27" s="14" t="s">
        <v>58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 t="str">
        <f aca="false">IF(COUNTA(D27:Y27)=0,"",COUNTIF(D27:Y27,"✅")/22)</f>
        <v/>
      </c>
      <c r="AC27" s="12"/>
      <c r="AD27" s="12"/>
      <c r="AE27" s="12"/>
    </row>
    <row r="28" customFormat="false" ht="15" hidden="false" customHeight="false" outlineLevel="0" collapsed="false">
      <c r="A28" s="13" t="n">
        <v>46350</v>
      </c>
      <c r="B28" s="14" t="n">
        <f aca="false">INT((A28-$A$5)/7)+1</f>
        <v>4</v>
      </c>
      <c r="C28" s="14" t="s">
        <v>59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 t="str">
        <f aca="false">IF(COUNTA(D28:Y28)=0,"",COUNTIF(D28:Y28,"✅")/22)</f>
        <v/>
      </c>
      <c r="AC28" s="12"/>
      <c r="AD28" s="12"/>
      <c r="AE28" s="12"/>
    </row>
    <row r="29" customFormat="false" ht="15" hidden="false" customHeight="false" outlineLevel="0" collapsed="false">
      <c r="A29" s="13" t="n">
        <v>46351</v>
      </c>
      <c r="B29" s="14" t="n">
        <f aca="false">INT((A29-$A$5)/7)+1</f>
        <v>4</v>
      </c>
      <c r="C29" s="14" t="s">
        <v>60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 t="str">
        <f aca="false">IF(COUNTA(D29:Y29)=0,"",COUNTIF(D29:Y29,"✅")/22)</f>
        <v/>
      </c>
      <c r="AC29" s="12"/>
      <c r="AD29" s="12"/>
      <c r="AE29" s="12"/>
    </row>
    <row r="30" customFormat="false" ht="15" hidden="false" customHeight="false" outlineLevel="0" collapsed="false">
      <c r="A30" s="13" t="n">
        <v>46352</v>
      </c>
      <c r="B30" s="14" t="n">
        <f aca="false">INT((A30-$A$5)/7)+1</f>
        <v>4</v>
      </c>
      <c r="C30" s="14" t="s">
        <v>61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 t="str">
        <f aca="false">IF(COUNTA(D30:Y30)=0,"",COUNTIF(D30:Y30,"✅")/22)</f>
        <v/>
      </c>
      <c r="AC30" s="12"/>
      <c r="AD30" s="12"/>
      <c r="AE30" s="12"/>
    </row>
    <row r="31" customFormat="false" ht="15" hidden="false" customHeight="false" outlineLevel="0" collapsed="false">
      <c r="A31" s="13" t="n">
        <v>46353</v>
      </c>
      <c r="B31" s="14" t="n">
        <f aca="false">INT((A31-$A$5)/7)+1</f>
        <v>4</v>
      </c>
      <c r="C31" s="14" t="s">
        <v>62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 t="str">
        <f aca="false">IF(COUNTA(D31:Y31)=0,"",COUNTIF(D31:Y31,"✅")/22)</f>
        <v/>
      </c>
      <c r="AC31" s="12"/>
      <c r="AD31" s="12"/>
      <c r="AE31" s="12"/>
    </row>
    <row r="32" customFormat="false" ht="15" hidden="false" customHeight="false" outlineLevel="0" collapsed="false">
      <c r="A32" s="13" t="n">
        <v>46354</v>
      </c>
      <c r="B32" s="14" t="n">
        <f aca="false">INT((A32-$A$5)/7)+1</f>
        <v>4</v>
      </c>
      <c r="C32" s="14" t="s">
        <v>63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 t="str">
        <f aca="false">IF(COUNTA(D32:Y32)=0,"",COUNTIF(D32:Y32,"✅")/22)</f>
        <v/>
      </c>
      <c r="AC32" s="12"/>
      <c r="AD32" s="12"/>
      <c r="AE32" s="12"/>
    </row>
    <row r="33" customFormat="false" ht="15" hidden="false" customHeight="false" outlineLevel="0" collapsed="false">
      <c r="A33" s="8" t="n">
        <v>46355</v>
      </c>
      <c r="B33" s="9" t="n">
        <f aca="false">INT((A33-$A$5)/7)+1</f>
        <v>5</v>
      </c>
      <c r="C33" s="9" t="s">
        <v>52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 t="str">
        <f aca="false">IF(COUNTA(D33:Y33)=0,"",COUNTIF(D33:Y33,"✅")/22)</f>
        <v/>
      </c>
      <c r="AC33" s="12"/>
      <c r="AD33" s="12"/>
      <c r="AE33" s="12"/>
    </row>
    <row r="34" customFormat="false" ht="15" hidden="false" customHeight="false" outlineLevel="0" collapsed="false">
      <c r="A34" s="13" t="n">
        <v>46356</v>
      </c>
      <c r="B34" s="14" t="n">
        <f aca="false">INT((A34-$A$5)/7)+1</f>
        <v>5</v>
      </c>
      <c r="C34" s="14" t="s">
        <v>58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 t="str">
        <f aca="false">IF(COUNTA(D34:Y34)=0,"",COUNTIF(D34:Y34,"✅")/22)</f>
        <v/>
      </c>
      <c r="AC34" s="12"/>
      <c r="AD34" s="12"/>
      <c r="AE34" s="12"/>
    </row>
    <row r="35" customFormat="false" ht="15" hidden="false" customHeight="false" outlineLevel="0" collapsed="false">
      <c r="A35" s="13" t="n">
        <v>46357</v>
      </c>
      <c r="B35" s="14" t="n">
        <f aca="false">INT((A35-$A$5)/7)+1</f>
        <v>5</v>
      </c>
      <c r="C35" s="14" t="s">
        <v>59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 t="str">
        <f aca="false">IF(COUNTA(D35:Y35)=0,"",COUNTIF(D35:Y35,"✅")/22)</f>
        <v/>
      </c>
      <c r="AC35" s="12"/>
      <c r="AD35" s="12"/>
      <c r="AE35" s="12"/>
    </row>
    <row r="36" customFormat="false" ht="15" hidden="false" customHeight="false" outlineLevel="0" collapsed="false">
      <c r="A36" s="13" t="n">
        <v>46358</v>
      </c>
      <c r="B36" s="14" t="n">
        <f aca="false">INT((A36-$A$5)/7)+1</f>
        <v>5</v>
      </c>
      <c r="C36" s="14" t="s">
        <v>60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 t="str">
        <f aca="false">IF(COUNTA(D36:Y36)=0,"",COUNTIF(D36:Y36,"✅")/22)</f>
        <v/>
      </c>
      <c r="AC36" s="12"/>
      <c r="AD36" s="12"/>
      <c r="AE36" s="12"/>
    </row>
    <row r="37" customFormat="false" ht="15" hidden="false" customHeight="false" outlineLevel="0" collapsed="false">
      <c r="A37" s="13" t="n">
        <v>46359</v>
      </c>
      <c r="B37" s="14" t="n">
        <f aca="false">INT((A37-$A$5)/7)+1</f>
        <v>5</v>
      </c>
      <c r="C37" s="14" t="s">
        <v>61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 t="str">
        <f aca="false">IF(COUNTA(D37:Y37)=0,"",COUNTIF(D37:Y37,"✅")/22)</f>
        <v/>
      </c>
      <c r="AC37" s="12"/>
      <c r="AD37" s="12"/>
      <c r="AE37" s="12"/>
    </row>
    <row r="38" customFormat="false" ht="15" hidden="false" customHeight="false" outlineLevel="0" collapsed="false">
      <c r="A38" s="13" t="n">
        <v>46360</v>
      </c>
      <c r="B38" s="14" t="n">
        <f aca="false">INT((A38-$A$5)/7)+1</f>
        <v>5</v>
      </c>
      <c r="C38" s="14" t="s">
        <v>62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 t="str">
        <f aca="false">IF(COUNTA(D38:Y38)=0,"",COUNTIF(D38:Y38,"✅")/22)</f>
        <v/>
      </c>
      <c r="AC38" s="12"/>
      <c r="AD38" s="12"/>
      <c r="AE38" s="12"/>
    </row>
    <row r="39" customFormat="false" ht="15" hidden="false" customHeight="false" outlineLevel="0" collapsed="false">
      <c r="A39" s="13" t="n">
        <v>46361</v>
      </c>
      <c r="B39" s="14" t="n">
        <f aca="false">INT((A39-$A$5)/7)+1</f>
        <v>5</v>
      </c>
      <c r="C39" s="14" t="s">
        <v>63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 t="str">
        <f aca="false">IF(COUNTA(D39:Y39)=0,"",COUNTIF(D39:Y39,"✅")/22)</f>
        <v/>
      </c>
      <c r="AC39" s="12"/>
      <c r="AD39" s="12"/>
      <c r="AE39" s="12"/>
    </row>
    <row r="40" customFormat="false" ht="15" hidden="false" customHeight="false" outlineLevel="0" collapsed="false">
      <c r="A40" s="8" t="n">
        <v>46362</v>
      </c>
      <c r="B40" s="9" t="n">
        <f aca="false">INT((A40-$A$5)/7)+1</f>
        <v>6</v>
      </c>
      <c r="C40" s="9" t="s">
        <v>52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 t="str">
        <f aca="false">IF(COUNTA(D40:Y40)=0,"",COUNTIF(D40:Y40,"✅")/22)</f>
        <v/>
      </c>
      <c r="AC40" s="12"/>
      <c r="AD40" s="12"/>
      <c r="AE40" s="12"/>
    </row>
    <row r="41" customFormat="false" ht="15" hidden="false" customHeight="false" outlineLevel="0" collapsed="false">
      <c r="A41" s="13" t="n">
        <v>46363</v>
      </c>
      <c r="B41" s="14" t="n">
        <f aca="false">INT((A41-$A$5)/7)+1</f>
        <v>6</v>
      </c>
      <c r="C41" s="14" t="s">
        <v>58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 t="str">
        <f aca="false">IF(COUNTA(D41:Y41)=0,"",COUNTIF(D41:Y41,"✅")/22)</f>
        <v/>
      </c>
      <c r="AC41" s="12"/>
      <c r="AD41" s="12"/>
      <c r="AE41" s="12"/>
    </row>
    <row r="42" customFormat="false" ht="15" hidden="false" customHeight="false" outlineLevel="0" collapsed="false">
      <c r="A42" s="13" t="n">
        <v>46364</v>
      </c>
      <c r="B42" s="14" t="n">
        <f aca="false">INT((A42-$A$5)/7)+1</f>
        <v>6</v>
      </c>
      <c r="C42" s="14" t="s">
        <v>59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 t="str">
        <f aca="false">IF(COUNTA(D42:Y42)=0,"",COUNTIF(D42:Y42,"✅")/22)</f>
        <v/>
      </c>
      <c r="AC42" s="12"/>
      <c r="AD42" s="12"/>
      <c r="AE42" s="12"/>
    </row>
    <row r="43" customFormat="false" ht="15" hidden="false" customHeight="false" outlineLevel="0" collapsed="false">
      <c r="A43" s="13" t="n">
        <v>46365</v>
      </c>
      <c r="B43" s="14" t="n">
        <f aca="false">INT((A43-$A$5)/7)+1</f>
        <v>6</v>
      </c>
      <c r="C43" s="14" t="s">
        <v>60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 t="str">
        <f aca="false">IF(COUNTA(D43:Y43)=0,"",COUNTIF(D43:Y43,"✅")/22)</f>
        <v/>
      </c>
      <c r="AC43" s="12"/>
      <c r="AD43" s="12"/>
      <c r="AE43" s="12"/>
    </row>
    <row r="44" customFormat="false" ht="15" hidden="false" customHeight="false" outlineLevel="0" collapsed="false">
      <c r="A44" s="13" t="n">
        <v>46366</v>
      </c>
      <c r="B44" s="14" t="n">
        <f aca="false">INT((A44-$A$5)/7)+1</f>
        <v>6</v>
      </c>
      <c r="C44" s="14" t="s">
        <v>61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 t="str">
        <f aca="false">IF(COUNTA(D44:Y44)=0,"",COUNTIF(D44:Y44,"✅")/22)</f>
        <v/>
      </c>
      <c r="AC44" s="12"/>
      <c r="AD44" s="12"/>
      <c r="AE44" s="12"/>
    </row>
    <row r="45" customFormat="false" ht="15" hidden="false" customHeight="false" outlineLevel="0" collapsed="false">
      <c r="A45" s="13" t="n">
        <v>46367</v>
      </c>
      <c r="B45" s="14" t="n">
        <f aca="false">INT((A45-$A$5)/7)+1</f>
        <v>6</v>
      </c>
      <c r="C45" s="14" t="s">
        <v>62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 t="str">
        <f aca="false">IF(COUNTA(D45:Y45)=0,"",COUNTIF(D45:Y45,"✅")/22)</f>
        <v/>
      </c>
      <c r="AC45" s="12"/>
      <c r="AD45" s="12"/>
      <c r="AE45" s="12"/>
    </row>
    <row r="46" customFormat="false" ht="15" hidden="false" customHeight="false" outlineLevel="0" collapsed="false">
      <c r="A46" s="13" t="n">
        <v>46368</v>
      </c>
      <c r="B46" s="14" t="n">
        <f aca="false">INT((A46-$A$5)/7)+1</f>
        <v>6</v>
      </c>
      <c r="C46" s="14" t="s">
        <v>63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 t="str">
        <f aca="false">IF(COUNTA(D46:Y46)=0,"",COUNTIF(D46:Y46,"✅")/22)</f>
        <v/>
      </c>
      <c r="AC46" s="12"/>
      <c r="AD46" s="12"/>
      <c r="AE46" s="12"/>
    </row>
    <row r="47" customFormat="false" ht="15" hidden="false" customHeight="false" outlineLevel="0" collapsed="false">
      <c r="A47" s="8" t="n">
        <v>46369</v>
      </c>
      <c r="B47" s="9" t="n">
        <f aca="false">INT((A47-$A$5)/7)+1</f>
        <v>7</v>
      </c>
      <c r="C47" s="9" t="s">
        <v>52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 t="str">
        <f aca="false">IF(COUNTA(D47:Y47)=0,"",COUNTIF(D47:Y47,"✅")/22)</f>
        <v/>
      </c>
      <c r="AC47" s="12"/>
      <c r="AD47" s="12"/>
      <c r="AE47" s="12"/>
    </row>
    <row r="48" customFormat="false" ht="15" hidden="false" customHeight="false" outlineLevel="0" collapsed="false">
      <c r="A48" s="13" t="n">
        <v>46370</v>
      </c>
      <c r="B48" s="14" t="n">
        <f aca="false">INT((A48-$A$5)/7)+1</f>
        <v>7</v>
      </c>
      <c r="C48" s="14" t="s">
        <v>58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 t="str">
        <f aca="false">IF(COUNTA(D48:Y48)=0,"",COUNTIF(D48:Y48,"✅")/22)</f>
        <v/>
      </c>
      <c r="AC48" s="12"/>
      <c r="AD48" s="12"/>
      <c r="AE48" s="12"/>
    </row>
    <row r="49" customFormat="false" ht="15" hidden="false" customHeight="false" outlineLevel="0" collapsed="false">
      <c r="A49" s="13" t="n">
        <v>46371</v>
      </c>
      <c r="B49" s="14" t="n">
        <f aca="false">INT((A49-$A$5)/7)+1</f>
        <v>7</v>
      </c>
      <c r="C49" s="14" t="s">
        <v>59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 t="str">
        <f aca="false">IF(COUNTA(D49:Y49)=0,"",COUNTIF(D49:Y49,"✅")/22)</f>
        <v/>
      </c>
      <c r="AC49" s="12"/>
      <c r="AD49" s="12"/>
      <c r="AE49" s="12"/>
    </row>
    <row r="50" customFormat="false" ht="15" hidden="false" customHeight="false" outlineLevel="0" collapsed="false">
      <c r="A50" s="13" t="n">
        <v>46372</v>
      </c>
      <c r="B50" s="14" t="n">
        <f aca="false">INT((A50-$A$5)/7)+1</f>
        <v>7</v>
      </c>
      <c r="C50" s="14" t="s">
        <v>60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 t="str">
        <f aca="false">IF(COUNTA(D50:Y50)=0,"",COUNTIF(D50:Y50,"✅")/22)</f>
        <v/>
      </c>
      <c r="AC50" s="12"/>
      <c r="AD50" s="12"/>
      <c r="AE50" s="12"/>
    </row>
    <row r="51" customFormat="false" ht="15" hidden="false" customHeight="false" outlineLevel="0" collapsed="false">
      <c r="A51" s="13" t="n">
        <v>46373</v>
      </c>
      <c r="B51" s="14" t="n">
        <f aca="false">INT((A51-$A$5)/7)+1</f>
        <v>7</v>
      </c>
      <c r="C51" s="14" t="s">
        <v>61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 t="str">
        <f aca="false">IF(COUNTA(D51:Y51)=0,"",COUNTIF(D51:Y51,"✅")/22)</f>
        <v/>
      </c>
      <c r="AC51" s="12"/>
      <c r="AD51" s="12"/>
      <c r="AE51" s="12"/>
    </row>
    <row r="52" customFormat="false" ht="15" hidden="false" customHeight="false" outlineLevel="0" collapsed="false">
      <c r="A52" s="13" t="n">
        <v>46374</v>
      </c>
      <c r="B52" s="14" t="n">
        <f aca="false">INT((A52-$A$5)/7)+1</f>
        <v>7</v>
      </c>
      <c r="C52" s="14" t="s">
        <v>62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 t="str">
        <f aca="false">IF(COUNTA(D52:Y52)=0,"",COUNTIF(D52:Y52,"✅")/22)</f>
        <v/>
      </c>
      <c r="AC52" s="12"/>
      <c r="AD52" s="12"/>
      <c r="AE52" s="12"/>
    </row>
    <row r="53" customFormat="false" ht="15" hidden="false" customHeight="false" outlineLevel="0" collapsed="false">
      <c r="A53" s="13" t="n">
        <v>46375</v>
      </c>
      <c r="B53" s="14" t="n">
        <f aca="false">INT((A53-$A$5)/7)+1</f>
        <v>7</v>
      </c>
      <c r="C53" s="14" t="s">
        <v>63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 t="str">
        <f aca="false">IF(COUNTA(D53:Y53)=0,"",COUNTIF(D53:Y53,"✅")/22)</f>
        <v/>
      </c>
      <c r="AC53" s="12"/>
      <c r="AD53" s="12"/>
      <c r="AE53" s="12"/>
    </row>
    <row r="54" customFormat="false" ht="15" hidden="false" customHeight="false" outlineLevel="0" collapsed="false">
      <c r="A54" s="8" t="n">
        <v>46376</v>
      </c>
      <c r="B54" s="9" t="n">
        <f aca="false">INT((A54-$A$5)/7)+1</f>
        <v>8</v>
      </c>
      <c r="C54" s="9" t="s">
        <v>52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 t="str">
        <f aca="false">IF(COUNTA(D54:Y54)=0,"",COUNTIF(D54:Y54,"✅")/22)</f>
        <v/>
      </c>
      <c r="AC54" s="12"/>
      <c r="AD54" s="12"/>
      <c r="AE54" s="12"/>
    </row>
    <row r="55" customFormat="false" ht="15" hidden="false" customHeight="false" outlineLevel="0" collapsed="false">
      <c r="A55" s="13" t="n">
        <v>46377</v>
      </c>
      <c r="B55" s="14" t="n">
        <f aca="false">INT((A55-$A$5)/7)+1</f>
        <v>8</v>
      </c>
      <c r="C55" s="14" t="s">
        <v>58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 t="str">
        <f aca="false">IF(COUNTA(D55:Y55)=0,"",COUNTIF(D55:Y55,"✅")/22)</f>
        <v/>
      </c>
      <c r="AC55" s="12"/>
      <c r="AD55" s="12"/>
      <c r="AE55" s="12"/>
    </row>
    <row r="56" customFormat="false" ht="15" hidden="false" customHeight="false" outlineLevel="0" collapsed="false">
      <c r="A56" s="13" t="n">
        <v>46378</v>
      </c>
      <c r="B56" s="14" t="n">
        <f aca="false">INT((A56-$A$5)/7)+1</f>
        <v>8</v>
      </c>
      <c r="C56" s="14" t="s">
        <v>59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 t="str">
        <f aca="false">IF(COUNTA(D56:Y56)=0,"",COUNTIF(D56:Y56,"✅")/22)</f>
        <v/>
      </c>
      <c r="AC56" s="12"/>
      <c r="AD56" s="12"/>
      <c r="AE56" s="12"/>
    </row>
    <row r="57" customFormat="false" ht="15" hidden="false" customHeight="false" outlineLevel="0" collapsed="false">
      <c r="A57" s="13" t="n">
        <v>46379</v>
      </c>
      <c r="B57" s="14" t="n">
        <f aca="false">INT((A57-$A$5)/7)+1</f>
        <v>8</v>
      </c>
      <c r="C57" s="14" t="s">
        <v>60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 t="str">
        <f aca="false">IF(COUNTA(D57:Y57)=0,"",COUNTIF(D57:Y57,"✅")/22)</f>
        <v/>
      </c>
      <c r="AC57" s="12"/>
      <c r="AD57" s="12"/>
      <c r="AE57" s="12"/>
    </row>
    <row r="58" customFormat="false" ht="15" hidden="false" customHeight="false" outlineLevel="0" collapsed="false">
      <c r="A58" s="13" t="n">
        <v>46380</v>
      </c>
      <c r="B58" s="14" t="n">
        <f aca="false">INT((A58-$A$5)/7)+1</f>
        <v>8</v>
      </c>
      <c r="C58" s="14" t="s">
        <v>61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 t="str">
        <f aca="false">IF(COUNTA(D58:Y58)=0,"",COUNTIF(D58:Y58,"✅")/22)</f>
        <v/>
      </c>
      <c r="AC58" s="12"/>
      <c r="AD58" s="12"/>
      <c r="AE58" s="12"/>
    </row>
    <row r="59" customFormat="false" ht="15" hidden="false" customHeight="false" outlineLevel="0" collapsed="false">
      <c r="A59" s="13" t="n">
        <v>46381</v>
      </c>
      <c r="B59" s="14" t="n">
        <f aca="false">INT((A59-$A$5)/7)+1</f>
        <v>8</v>
      </c>
      <c r="C59" s="14" t="s">
        <v>62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 t="str">
        <f aca="false">IF(COUNTA(D59:Y59)=0,"",COUNTIF(D59:Y59,"✅")/22)</f>
        <v/>
      </c>
      <c r="AC59" s="12"/>
      <c r="AD59" s="12"/>
      <c r="AE59" s="12"/>
    </row>
    <row r="60" customFormat="false" ht="15" hidden="false" customHeight="false" outlineLevel="0" collapsed="false">
      <c r="A60" s="13" t="n">
        <v>46382</v>
      </c>
      <c r="B60" s="14" t="n">
        <f aca="false">INT((A60-$A$5)/7)+1</f>
        <v>8</v>
      </c>
      <c r="C60" s="14" t="s">
        <v>63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 t="str">
        <f aca="false">IF(COUNTA(D60:Y60)=0,"",COUNTIF(D60:Y60,"✅")/22)</f>
        <v/>
      </c>
      <c r="AC60" s="12"/>
      <c r="AD60" s="12"/>
      <c r="AE60" s="12"/>
    </row>
    <row r="61" customFormat="false" ht="15" hidden="false" customHeight="false" outlineLevel="0" collapsed="false">
      <c r="A61" s="8" t="n">
        <v>46383</v>
      </c>
      <c r="B61" s="9" t="n">
        <f aca="false">INT((A61-$A$5)/7)+1</f>
        <v>9</v>
      </c>
      <c r="C61" s="9" t="s">
        <v>52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 t="str">
        <f aca="false">IF(COUNTA(D61:Y61)=0,"",COUNTIF(D61:Y61,"✅")/22)</f>
        <v/>
      </c>
      <c r="AC61" s="12"/>
      <c r="AD61" s="12"/>
      <c r="AE61" s="12"/>
    </row>
    <row r="62" customFormat="false" ht="15" hidden="false" customHeight="false" outlineLevel="0" collapsed="false">
      <c r="A62" s="13" t="n">
        <v>46384</v>
      </c>
      <c r="B62" s="14" t="n">
        <f aca="false">INT((A62-$A$5)/7)+1</f>
        <v>9</v>
      </c>
      <c r="C62" s="14" t="s">
        <v>58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 t="str">
        <f aca="false">IF(COUNTA(D62:Y62)=0,"",COUNTIF(D62:Y62,"✅")/22)</f>
        <v/>
      </c>
      <c r="AC62" s="12"/>
      <c r="AD62" s="12"/>
      <c r="AE62" s="12"/>
    </row>
    <row r="63" customFormat="false" ht="15" hidden="false" customHeight="false" outlineLevel="0" collapsed="false">
      <c r="A63" s="13" t="n">
        <v>46385</v>
      </c>
      <c r="B63" s="14" t="n">
        <f aca="false">INT((A63-$A$5)/7)+1</f>
        <v>9</v>
      </c>
      <c r="C63" s="14" t="s">
        <v>59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 t="str">
        <f aca="false">IF(COUNTA(D63:Y63)=0,"",COUNTIF(D63:Y63,"✅")/22)</f>
        <v/>
      </c>
      <c r="AC63" s="12"/>
      <c r="AD63" s="12"/>
      <c r="AE63" s="12"/>
    </row>
    <row r="64" customFormat="false" ht="15" hidden="false" customHeight="false" outlineLevel="0" collapsed="false">
      <c r="A64" s="13" t="n">
        <v>46386</v>
      </c>
      <c r="B64" s="14" t="n">
        <f aca="false">INT((A64-$A$5)/7)+1</f>
        <v>9</v>
      </c>
      <c r="C64" s="14" t="s">
        <v>60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 t="str">
        <f aca="false">IF(COUNTA(D64:Y64)=0,"",COUNTIF(D64:Y64,"✅")/22)</f>
        <v/>
      </c>
      <c r="AC64" s="12"/>
      <c r="AD64" s="12"/>
      <c r="AE64" s="12"/>
    </row>
    <row r="65" customFormat="false" ht="15" hidden="false" customHeight="false" outlineLevel="0" collapsed="false">
      <c r="A65" s="13" t="n">
        <v>46387</v>
      </c>
      <c r="B65" s="14" t="n">
        <f aca="false">INT((A65-$A$5)/7)+1</f>
        <v>9</v>
      </c>
      <c r="C65" s="14" t="s">
        <v>61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 t="str">
        <f aca="false">IF(COUNTA(D65:Y65)=0,"",COUNTIF(D65:Y65,"✅")/22)</f>
        <v/>
      </c>
      <c r="AC65" s="12"/>
      <c r="AD65" s="12"/>
      <c r="AE65" s="12"/>
    </row>
    <row r="66" customFormat="false" ht="15" hidden="false" customHeight="false" outlineLevel="0" collapsed="false">
      <c r="A66" s="13" t="n">
        <v>46388</v>
      </c>
      <c r="B66" s="14" t="n">
        <f aca="false">INT((A66-$A$5)/7)+1</f>
        <v>9</v>
      </c>
      <c r="C66" s="14" t="s">
        <v>62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 t="str">
        <f aca="false">IF(COUNTA(D66:Y66)=0,"",COUNTIF(D66:Y66,"✅")/22)</f>
        <v/>
      </c>
      <c r="AC66" s="12"/>
      <c r="AD66" s="12"/>
      <c r="AE66" s="12"/>
    </row>
    <row r="67" customFormat="false" ht="15" hidden="false" customHeight="false" outlineLevel="0" collapsed="false">
      <c r="A67" s="13" t="n">
        <v>46389</v>
      </c>
      <c r="B67" s="14" t="n">
        <f aca="false">INT((A67-$A$5)/7)+1</f>
        <v>9</v>
      </c>
      <c r="C67" s="14" t="s">
        <v>63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 t="str">
        <f aca="false">IF(COUNTA(D67:Y67)=0,"",COUNTIF(D67:Y67,"✅")/22)</f>
        <v/>
      </c>
      <c r="AC67" s="12"/>
      <c r="AD67" s="12"/>
      <c r="AE67" s="12"/>
    </row>
  </sheetData>
  <mergeCells count="2">
    <mergeCell ref="A1:AE1"/>
    <mergeCell ref="A2:AE2"/>
  </mergeCells>
  <conditionalFormatting sqref="D5:AA67">
    <cfRule type="cellIs" priority="2" operator="equal" aboveAverage="0" equalAverage="0" bottom="0" percent="0" rank="0" text="" dxfId="0">
      <formula>"✅"</formula>
    </cfRule>
    <cfRule type="cellIs" priority="3" operator="equal" aboveAverage="0" equalAverage="0" bottom="0" percent="0" rank="0" text="" dxfId="1">
      <formula>"❌"</formula>
    </cfRule>
  </conditionalFormatting>
  <conditionalFormatting sqref="AB5:AB67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Z5:Z67">
    <cfRule type="expression" priority="5" aboveAverage="0" equalAverage="0" bottom="0" percent="0" rank="0" text="" dxfId="0">
      <formula>AND(Z5&lt;&gt;"",Z5&gt;=2)</formula>
    </cfRule>
    <cfRule type="expression" priority="6" aboveAverage="0" equalAverage="0" bottom="0" percent="0" rank="0" text="" dxfId="1">
      <formula>AND(Z5&lt;&gt;"",Z5&lt;2)</formula>
    </cfRule>
  </conditionalFormatting>
  <conditionalFormatting sqref="AA5:AA67">
    <cfRule type="expression" priority="7" aboveAverage="0" equalAverage="0" bottom="0" percent="0" rank="0" text="" dxfId="0">
      <formula>AND(AA5&lt;&gt;"",AA5&gt;=20)</formula>
    </cfRule>
    <cfRule type="expression" priority="8" aboveAverage="0" equalAverage="0" bottom="0" percent="0" rank="0" text="" dxfId="1">
      <formula>AND(AA5&lt;&gt;"",AA5&lt;20)</formula>
    </cfRule>
  </conditionalFormatting>
  <dataValidations count="2">
    <dataValidation allowBlank="true" errorStyle="stop" operator="between" showDropDown="false" showErrorMessage="false" showInputMessage="false" sqref="Z5:AA67" type="decimal">
      <formula1>0</formula1>
      <formula2>24</formula2>
    </dataValidation>
    <dataValidation allowBlank="true" errorStyle="stop" operator="between" showDropDown="false" showErrorMessage="false" showInputMessage="false" sqref="D5:Y67" type="list">
      <formula1>"✅,❌"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27" min="4" style="0" width="9"/>
    <col collapsed="false" customWidth="true" hidden="false" outlineLevel="0" max="28" min="28" style="0" width="8"/>
    <col collapsed="false" customWidth="true" hidden="false" outlineLevel="0" max="31" min="29" style="0" width="30"/>
  </cols>
  <sheetData>
    <row r="1" customFormat="false" ht="27.75" hidden="false" customHeight="true" outlineLevel="0" collapsed="false">
      <c r="A1" s="5" t="s">
        <v>66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customFormat="false" ht="15" hidden="false" customHeight="false" outlineLevel="0" collapsed="false">
      <c r="A2" s="6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4" customFormat="false" ht="42" hidden="false" customHeight="true" outlineLevel="0" collapsed="false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32</v>
      </c>
      <c r="M4" s="7" t="s">
        <v>33</v>
      </c>
      <c r="N4" s="7" t="s">
        <v>34</v>
      </c>
      <c r="O4" s="7" t="s">
        <v>35</v>
      </c>
      <c r="P4" s="7" t="s">
        <v>36</v>
      </c>
      <c r="Q4" s="7" t="s">
        <v>37</v>
      </c>
      <c r="R4" s="7" t="s">
        <v>38</v>
      </c>
      <c r="S4" s="7" t="s">
        <v>39</v>
      </c>
      <c r="T4" s="7" t="s">
        <v>40</v>
      </c>
      <c r="U4" s="7" t="s">
        <v>41</v>
      </c>
      <c r="V4" s="7" t="s">
        <v>42</v>
      </c>
      <c r="W4" s="7" t="s">
        <v>43</v>
      </c>
      <c r="X4" s="7" t="s">
        <v>44</v>
      </c>
      <c r="Y4" s="7" t="s">
        <v>45</v>
      </c>
      <c r="Z4" s="7" t="s">
        <v>46</v>
      </c>
      <c r="AA4" s="7" t="s">
        <v>47</v>
      </c>
      <c r="AB4" s="7" t="s">
        <v>48</v>
      </c>
      <c r="AC4" s="7" t="s">
        <v>49</v>
      </c>
      <c r="AD4" s="7" t="s">
        <v>50</v>
      </c>
      <c r="AE4" s="7" t="s">
        <v>51</v>
      </c>
    </row>
    <row r="5" customFormat="false" ht="15" hidden="false" customHeight="false" outlineLevel="0" collapsed="false">
      <c r="A5" s="8" t="n">
        <v>46327</v>
      </c>
      <c r="B5" s="9" t="n">
        <f aca="false">INT((A5-$A$5)/7)+1</f>
        <v>1</v>
      </c>
      <c r="C5" s="9" t="s">
        <v>52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1" t="str">
        <f aca="false">IF(COUNTA(D5:Y5)=0,"",COUNTIF(D5:Y5,"✅")/22)</f>
        <v/>
      </c>
      <c r="AC5" s="12"/>
      <c r="AD5" s="12"/>
      <c r="AE5" s="12"/>
    </row>
    <row r="6" customFormat="false" ht="15" hidden="false" customHeight="false" outlineLevel="0" collapsed="false">
      <c r="A6" s="13" t="n">
        <v>46328</v>
      </c>
      <c r="B6" s="14" t="n">
        <f aca="false">INT((A6-$A$5)/7)+1</f>
        <v>1</v>
      </c>
      <c r="C6" s="14" t="s">
        <v>58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 t="str">
        <f aca="false">IF(COUNTA(D6:Y6)=0,"",COUNTIF(D6:Y6,"✅")/22)</f>
        <v/>
      </c>
      <c r="AC6" s="12"/>
      <c r="AD6" s="12"/>
      <c r="AE6" s="12"/>
    </row>
    <row r="7" customFormat="false" ht="15" hidden="false" customHeight="false" outlineLevel="0" collapsed="false">
      <c r="A7" s="13" t="n">
        <v>46329</v>
      </c>
      <c r="B7" s="14" t="n">
        <f aca="false">INT((A7-$A$5)/7)+1</f>
        <v>1</v>
      </c>
      <c r="C7" s="14" t="s">
        <v>59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 t="str">
        <f aca="false">IF(COUNTA(D7:Y7)=0,"",COUNTIF(D7:Y7,"✅")/22)</f>
        <v/>
      </c>
      <c r="AC7" s="12"/>
      <c r="AD7" s="12"/>
      <c r="AE7" s="12"/>
    </row>
    <row r="8" customFormat="false" ht="15" hidden="false" customHeight="false" outlineLevel="0" collapsed="false">
      <c r="A8" s="13" t="n">
        <v>46330</v>
      </c>
      <c r="B8" s="14" t="n">
        <f aca="false">INT((A8-$A$5)/7)+1</f>
        <v>1</v>
      </c>
      <c r="C8" s="14" t="s">
        <v>60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 t="str">
        <f aca="false">IF(COUNTA(D8:Y8)=0,"",COUNTIF(D8:Y8,"✅")/22)</f>
        <v/>
      </c>
      <c r="AC8" s="12"/>
      <c r="AD8" s="12"/>
      <c r="AE8" s="12"/>
    </row>
    <row r="9" customFormat="false" ht="15" hidden="false" customHeight="false" outlineLevel="0" collapsed="false">
      <c r="A9" s="13" t="n">
        <v>46331</v>
      </c>
      <c r="B9" s="14" t="n">
        <f aca="false">INT((A9-$A$5)/7)+1</f>
        <v>1</v>
      </c>
      <c r="C9" s="14" t="s">
        <v>61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 t="str">
        <f aca="false">IF(COUNTA(D9:Y9)=0,"",COUNTIF(D9:Y9,"✅")/22)</f>
        <v/>
      </c>
      <c r="AC9" s="12"/>
      <c r="AD9" s="12"/>
      <c r="AE9" s="12"/>
    </row>
    <row r="10" customFormat="false" ht="15" hidden="false" customHeight="false" outlineLevel="0" collapsed="false">
      <c r="A10" s="13" t="n">
        <v>46332</v>
      </c>
      <c r="B10" s="14" t="n">
        <f aca="false">INT((A10-$A$5)/7)+1</f>
        <v>1</v>
      </c>
      <c r="C10" s="14" t="s">
        <v>62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 t="str">
        <f aca="false">IF(COUNTA(D10:Y10)=0,"",COUNTIF(D10:Y10,"✅")/22)</f>
        <v/>
      </c>
      <c r="AC10" s="12"/>
      <c r="AD10" s="12"/>
      <c r="AE10" s="12"/>
    </row>
    <row r="11" customFormat="false" ht="15" hidden="false" customHeight="false" outlineLevel="0" collapsed="false">
      <c r="A11" s="13" t="n">
        <v>46333</v>
      </c>
      <c r="B11" s="14" t="n">
        <f aca="false">INT((A11-$A$5)/7)+1</f>
        <v>1</v>
      </c>
      <c r="C11" s="14" t="s">
        <v>63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 t="str">
        <f aca="false">IF(COUNTA(D11:Y11)=0,"",COUNTIF(D11:Y11,"✅")/22)</f>
        <v/>
      </c>
      <c r="AC11" s="12"/>
      <c r="AD11" s="12"/>
      <c r="AE11" s="12"/>
    </row>
    <row r="12" customFormat="false" ht="15" hidden="false" customHeight="false" outlineLevel="0" collapsed="false">
      <c r="A12" s="8" t="n">
        <v>46334</v>
      </c>
      <c r="B12" s="9" t="n">
        <f aca="false">INT((A12-$A$5)/7)+1</f>
        <v>2</v>
      </c>
      <c r="C12" s="9" t="s">
        <v>52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 t="str">
        <f aca="false">IF(COUNTA(D12:Y12)=0,"",COUNTIF(D12:Y12,"✅")/22)</f>
        <v/>
      </c>
      <c r="AC12" s="12"/>
      <c r="AD12" s="12"/>
      <c r="AE12" s="12"/>
    </row>
    <row r="13" customFormat="false" ht="15" hidden="false" customHeight="false" outlineLevel="0" collapsed="false">
      <c r="A13" s="13" t="n">
        <v>46335</v>
      </c>
      <c r="B13" s="14" t="n">
        <f aca="false">INT((A13-$A$5)/7)+1</f>
        <v>2</v>
      </c>
      <c r="C13" s="14" t="s">
        <v>58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 t="str">
        <f aca="false">IF(COUNTA(D13:Y13)=0,"",COUNTIF(D13:Y13,"✅")/22)</f>
        <v/>
      </c>
      <c r="AC13" s="12"/>
      <c r="AD13" s="12"/>
      <c r="AE13" s="12"/>
    </row>
    <row r="14" customFormat="false" ht="15" hidden="false" customHeight="false" outlineLevel="0" collapsed="false">
      <c r="A14" s="13" t="n">
        <v>46336</v>
      </c>
      <c r="B14" s="14" t="n">
        <f aca="false">INT((A14-$A$5)/7)+1</f>
        <v>2</v>
      </c>
      <c r="C14" s="14" t="s">
        <v>59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 t="str">
        <f aca="false">IF(COUNTA(D14:Y14)=0,"",COUNTIF(D14:Y14,"✅")/22)</f>
        <v/>
      </c>
      <c r="AC14" s="12"/>
      <c r="AD14" s="12"/>
      <c r="AE14" s="12"/>
    </row>
    <row r="15" customFormat="false" ht="15" hidden="false" customHeight="false" outlineLevel="0" collapsed="false">
      <c r="A15" s="13" t="n">
        <v>46337</v>
      </c>
      <c r="B15" s="14" t="n">
        <f aca="false">INT((A15-$A$5)/7)+1</f>
        <v>2</v>
      </c>
      <c r="C15" s="14" t="s">
        <v>60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 t="str">
        <f aca="false">IF(COUNTA(D15:Y15)=0,"",COUNTIF(D15:Y15,"✅")/22)</f>
        <v/>
      </c>
      <c r="AC15" s="12"/>
      <c r="AD15" s="12"/>
      <c r="AE15" s="12"/>
    </row>
    <row r="16" customFormat="false" ht="15" hidden="false" customHeight="false" outlineLevel="0" collapsed="false">
      <c r="A16" s="13" t="n">
        <v>46338</v>
      </c>
      <c r="B16" s="14" t="n">
        <f aca="false">INT((A16-$A$5)/7)+1</f>
        <v>2</v>
      </c>
      <c r="C16" s="14" t="s">
        <v>61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 t="str">
        <f aca="false">IF(COUNTA(D16:Y16)=0,"",COUNTIF(D16:Y16,"✅")/22)</f>
        <v/>
      </c>
      <c r="AC16" s="12"/>
      <c r="AD16" s="12"/>
      <c r="AE16" s="12"/>
    </row>
    <row r="17" customFormat="false" ht="15" hidden="false" customHeight="false" outlineLevel="0" collapsed="false">
      <c r="A17" s="13" t="n">
        <v>46339</v>
      </c>
      <c r="B17" s="14" t="n">
        <f aca="false">INT((A17-$A$5)/7)+1</f>
        <v>2</v>
      </c>
      <c r="C17" s="14" t="s">
        <v>62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 t="str">
        <f aca="false">IF(COUNTA(D17:Y17)=0,"",COUNTIF(D17:Y17,"✅")/22)</f>
        <v/>
      </c>
      <c r="AC17" s="12"/>
      <c r="AD17" s="12"/>
      <c r="AE17" s="12"/>
    </row>
    <row r="18" customFormat="false" ht="15" hidden="false" customHeight="false" outlineLevel="0" collapsed="false">
      <c r="A18" s="13" t="n">
        <v>46340</v>
      </c>
      <c r="B18" s="14" t="n">
        <f aca="false">INT((A18-$A$5)/7)+1</f>
        <v>2</v>
      </c>
      <c r="C18" s="14" t="s">
        <v>63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 t="str">
        <f aca="false">IF(COUNTA(D18:Y18)=0,"",COUNTIF(D18:Y18,"✅")/22)</f>
        <v/>
      </c>
      <c r="AC18" s="12"/>
      <c r="AD18" s="12"/>
      <c r="AE18" s="12"/>
    </row>
    <row r="19" customFormat="false" ht="15" hidden="false" customHeight="false" outlineLevel="0" collapsed="false">
      <c r="A19" s="8" t="n">
        <v>46341</v>
      </c>
      <c r="B19" s="9" t="n">
        <f aca="false">INT((A19-$A$5)/7)+1</f>
        <v>3</v>
      </c>
      <c r="C19" s="9" t="s">
        <v>52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 t="str">
        <f aca="false">IF(COUNTA(D19:Y19)=0,"",COUNTIF(D19:Y19,"✅")/22)</f>
        <v/>
      </c>
      <c r="AC19" s="12"/>
      <c r="AD19" s="12"/>
      <c r="AE19" s="12"/>
    </row>
    <row r="20" customFormat="false" ht="15" hidden="false" customHeight="false" outlineLevel="0" collapsed="false">
      <c r="A20" s="13" t="n">
        <v>46342</v>
      </c>
      <c r="B20" s="14" t="n">
        <f aca="false">INT((A20-$A$5)/7)+1</f>
        <v>3</v>
      </c>
      <c r="C20" s="14" t="s">
        <v>58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 t="str">
        <f aca="false">IF(COUNTA(D20:Y20)=0,"",COUNTIF(D20:Y20,"✅")/22)</f>
        <v/>
      </c>
      <c r="AC20" s="12"/>
      <c r="AD20" s="12"/>
      <c r="AE20" s="12"/>
    </row>
    <row r="21" customFormat="false" ht="15" hidden="false" customHeight="false" outlineLevel="0" collapsed="false">
      <c r="A21" s="13" t="n">
        <v>46343</v>
      </c>
      <c r="B21" s="14" t="n">
        <f aca="false">INT((A21-$A$5)/7)+1</f>
        <v>3</v>
      </c>
      <c r="C21" s="14" t="s">
        <v>59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 t="str">
        <f aca="false">IF(COUNTA(D21:Y21)=0,"",COUNTIF(D21:Y21,"✅")/22)</f>
        <v/>
      </c>
      <c r="AC21" s="12"/>
      <c r="AD21" s="12"/>
      <c r="AE21" s="12"/>
    </row>
    <row r="22" customFormat="false" ht="15" hidden="false" customHeight="false" outlineLevel="0" collapsed="false">
      <c r="A22" s="13" t="n">
        <v>46344</v>
      </c>
      <c r="B22" s="14" t="n">
        <f aca="false">INT((A22-$A$5)/7)+1</f>
        <v>3</v>
      </c>
      <c r="C22" s="14" t="s">
        <v>60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 t="str">
        <f aca="false">IF(COUNTA(D22:Y22)=0,"",COUNTIF(D22:Y22,"✅")/22)</f>
        <v/>
      </c>
      <c r="AC22" s="12"/>
      <c r="AD22" s="12"/>
      <c r="AE22" s="12"/>
    </row>
    <row r="23" customFormat="false" ht="15" hidden="false" customHeight="false" outlineLevel="0" collapsed="false">
      <c r="A23" s="13" t="n">
        <v>46345</v>
      </c>
      <c r="B23" s="14" t="n">
        <f aca="false">INT((A23-$A$5)/7)+1</f>
        <v>3</v>
      </c>
      <c r="C23" s="14" t="s">
        <v>61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 t="str">
        <f aca="false">IF(COUNTA(D23:Y23)=0,"",COUNTIF(D23:Y23,"✅")/22)</f>
        <v/>
      </c>
      <c r="AC23" s="12"/>
      <c r="AD23" s="12"/>
      <c r="AE23" s="12"/>
    </row>
    <row r="24" customFormat="false" ht="15" hidden="false" customHeight="false" outlineLevel="0" collapsed="false">
      <c r="A24" s="13" t="n">
        <v>46346</v>
      </c>
      <c r="B24" s="14" t="n">
        <f aca="false">INT((A24-$A$5)/7)+1</f>
        <v>3</v>
      </c>
      <c r="C24" s="14" t="s">
        <v>62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 t="str">
        <f aca="false">IF(COUNTA(D24:Y24)=0,"",COUNTIF(D24:Y24,"✅")/22)</f>
        <v/>
      </c>
      <c r="AC24" s="12"/>
      <c r="AD24" s="12"/>
      <c r="AE24" s="12"/>
    </row>
    <row r="25" customFormat="false" ht="15" hidden="false" customHeight="false" outlineLevel="0" collapsed="false">
      <c r="A25" s="13" t="n">
        <v>46347</v>
      </c>
      <c r="B25" s="14" t="n">
        <f aca="false">INT((A25-$A$5)/7)+1</f>
        <v>3</v>
      </c>
      <c r="C25" s="14" t="s">
        <v>63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 t="str">
        <f aca="false">IF(COUNTA(D25:Y25)=0,"",COUNTIF(D25:Y25,"✅")/22)</f>
        <v/>
      </c>
      <c r="AC25" s="12"/>
      <c r="AD25" s="12"/>
      <c r="AE25" s="12"/>
    </row>
    <row r="26" customFormat="false" ht="15" hidden="false" customHeight="false" outlineLevel="0" collapsed="false">
      <c r="A26" s="8" t="n">
        <v>46348</v>
      </c>
      <c r="B26" s="9" t="n">
        <f aca="false">INT((A26-$A$5)/7)+1</f>
        <v>4</v>
      </c>
      <c r="C26" s="9" t="s">
        <v>52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 t="str">
        <f aca="false">IF(COUNTA(D26:Y26)=0,"",COUNTIF(D26:Y26,"✅")/22)</f>
        <v/>
      </c>
      <c r="AC26" s="12"/>
      <c r="AD26" s="12"/>
      <c r="AE26" s="12"/>
    </row>
    <row r="27" customFormat="false" ht="15" hidden="false" customHeight="false" outlineLevel="0" collapsed="false">
      <c r="A27" s="13" t="n">
        <v>46349</v>
      </c>
      <c r="B27" s="14" t="n">
        <f aca="false">INT((A27-$A$5)/7)+1</f>
        <v>4</v>
      </c>
      <c r="C27" s="14" t="s">
        <v>58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 t="str">
        <f aca="false">IF(COUNTA(D27:Y27)=0,"",COUNTIF(D27:Y27,"✅")/22)</f>
        <v/>
      </c>
      <c r="AC27" s="12"/>
      <c r="AD27" s="12"/>
      <c r="AE27" s="12"/>
    </row>
    <row r="28" customFormat="false" ht="15" hidden="false" customHeight="false" outlineLevel="0" collapsed="false">
      <c r="A28" s="13" t="n">
        <v>46350</v>
      </c>
      <c r="B28" s="14" t="n">
        <f aca="false">INT((A28-$A$5)/7)+1</f>
        <v>4</v>
      </c>
      <c r="C28" s="14" t="s">
        <v>59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 t="str">
        <f aca="false">IF(COUNTA(D28:Y28)=0,"",COUNTIF(D28:Y28,"✅")/22)</f>
        <v/>
      </c>
      <c r="AC28" s="12"/>
      <c r="AD28" s="12"/>
      <c r="AE28" s="12"/>
    </row>
    <row r="29" customFormat="false" ht="15" hidden="false" customHeight="false" outlineLevel="0" collapsed="false">
      <c r="A29" s="13" t="n">
        <v>46351</v>
      </c>
      <c r="B29" s="14" t="n">
        <f aca="false">INT((A29-$A$5)/7)+1</f>
        <v>4</v>
      </c>
      <c r="C29" s="14" t="s">
        <v>60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 t="str">
        <f aca="false">IF(COUNTA(D29:Y29)=0,"",COUNTIF(D29:Y29,"✅")/22)</f>
        <v/>
      </c>
      <c r="AC29" s="12"/>
      <c r="AD29" s="12"/>
      <c r="AE29" s="12"/>
    </row>
    <row r="30" customFormat="false" ht="15" hidden="false" customHeight="false" outlineLevel="0" collapsed="false">
      <c r="A30" s="13" t="n">
        <v>46352</v>
      </c>
      <c r="B30" s="14" t="n">
        <f aca="false">INT((A30-$A$5)/7)+1</f>
        <v>4</v>
      </c>
      <c r="C30" s="14" t="s">
        <v>61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 t="str">
        <f aca="false">IF(COUNTA(D30:Y30)=0,"",COUNTIF(D30:Y30,"✅")/22)</f>
        <v/>
      </c>
      <c r="AC30" s="12"/>
      <c r="AD30" s="12"/>
      <c r="AE30" s="12"/>
    </row>
    <row r="31" customFormat="false" ht="15" hidden="false" customHeight="false" outlineLevel="0" collapsed="false">
      <c r="A31" s="13" t="n">
        <v>46353</v>
      </c>
      <c r="B31" s="14" t="n">
        <f aca="false">INT((A31-$A$5)/7)+1</f>
        <v>4</v>
      </c>
      <c r="C31" s="14" t="s">
        <v>62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 t="str">
        <f aca="false">IF(COUNTA(D31:Y31)=0,"",COUNTIF(D31:Y31,"✅")/22)</f>
        <v/>
      </c>
      <c r="AC31" s="12"/>
      <c r="AD31" s="12"/>
      <c r="AE31" s="12"/>
    </row>
    <row r="32" customFormat="false" ht="15" hidden="false" customHeight="false" outlineLevel="0" collapsed="false">
      <c r="A32" s="13" t="n">
        <v>46354</v>
      </c>
      <c r="B32" s="14" t="n">
        <f aca="false">INT((A32-$A$5)/7)+1</f>
        <v>4</v>
      </c>
      <c r="C32" s="14" t="s">
        <v>63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 t="str">
        <f aca="false">IF(COUNTA(D32:Y32)=0,"",COUNTIF(D32:Y32,"✅")/22)</f>
        <v/>
      </c>
      <c r="AC32" s="12"/>
      <c r="AD32" s="12"/>
      <c r="AE32" s="12"/>
    </row>
    <row r="33" customFormat="false" ht="15" hidden="false" customHeight="false" outlineLevel="0" collapsed="false">
      <c r="A33" s="8" t="n">
        <v>46355</v>
      </c>
      <c r="B33" s="9" t="n">
        <f aca="false">INT((A33-$A$5)/7)+1</f>
        <v>5</v>
      </c>
      <c r="C33" s="9" t="s">
        <v>52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 t="str">
        <f aca="false">IF(COUNTA(D33:Y33)=0,"",COUNTIF(D33:Y33,"✅")/22)</f>
        <v/>
      </c>
      <c r="AC33" s="12"/>
      <c r="AD33" s="12"/>
      <c r="AE33" s="12"/>
    </row>
    <row r="34" customFormat="false" ht="15" hidden="false" customHeight="false" outlineLevel="0" collapsed="false">
      <c r="A34" s="13" t="n">
        <v>46356</v>
      </c>
      <c r="B34" s="14" t="n">
        <f aca="false">INT((A34-$A$5)/7)+1</f>
        <v>5</v>
      </c>
      <c r="C34" s="14" t="s">
        <v>58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 t="str">
        <f aca="false">IF(COUNTA(D34:Y34)=0,"",COUNTIF(D34:Y34,"✅")/22)</f>
        <v/>
      </c>
      <c r="AC34" s="12"/>
      <c r="AD34" s="12"/>
      <c r="AE34" s="12"/>
    </row>
    <row r="35" customFormat="false" ht="15" hidden="false" customHeight="false" outlineLevel="0" collapsed="false">
      <c r="A35" s="13" t="n">
        <v>46357</v>
      </c>
      <c r="B35" s="14" t="n">
        <f aca="false">INT((A35-$A$5)/7)+1</f>
        <v>5</v>
      </c>
      <c r="C35" s="14" t="s">
        <v>59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 t="str">
        <f aca="false">IF(COUNTA(D35:Y35)=0,"",COUNTIF(D35:Y35,"✅")/22)</f>
        <v/>
      </c>
      <c r="AC35" s="12"/>
      <c r="AD35" s="12"/>
      <c r="AE35" s="12"/>
    </row>
    <row r="36" customFormat="false" ht="15" hidden="false" customHeight="false" outlineLevel="0" collapsed="false">
      <c r="A36" s="13" t="n">
        <v>46358</v>
      </c>
      <c r="B36" s="14" t="n">
        <f aca="false">INT((A36-$A$5)/7)+1</f>
        <v>5</v>
      </c>
      <c r="C36" s="14" t="s">
        <v>60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 t="str">
        <f aca="false">IF(COUNTA(D36:Y36)=0,"",COUNTIF(D36:Y36,"✅")/22)</f>
        <v/>
      </c>
      <c r="AC36" s="12"/>
      <c r="AD36" s="12"/>
      <c r="AE36" s="12"/>
    </row>
    <row r="37" customFormat="false" ht="15" hidden="false" customHeight="false" outlineLevel="0" collapsed="false">
      <c r="A37" s="13" t="n">
        <v>46359</v>
      </c>
      <c r="B37" s="14" t="n">
        <f aca="false">INT((A37-$A$5)/7)+1</f>
        <v>5</v>
      </c>
      <c r="C37" s="14" t="s">
        <v>61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 t="str">
        <f aca="false">IF(COUNTA(D37:Y37)=0,"",COUNTIF(D37:Y37,"✅")/22)</f>
        <v/>
      </c>
      <c r="AC37" s="12"/>
      <c r="AD37" s="12"/>
      <c r="AE37" s="12"/>
    </row>
    <row r="38" customFormat="false" ht="15" hidden="false" customHeight="false" outlineLevel="0" collapsed="false">
      <c r="A38" s="13" t="n">
        <v>46360</v>
      </c>
      <c r="B38" s="14" t="n">
        <f aca="false">INT((A38-$A$5)/7)+1</f>
        <v>5</v>
      </c>
      <c r="C38" s="14" t="s">
        <v>62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 t="str">
        <f aca="false">IF(COUNTA(D38:Y38)=0,"",COUNTIF(D38:Y38,"✅")/22)</f>
        <v/>
      </c>
      <c r="AC38" s="12"/>
      <c r="AD38" s="12"/>
      <c r="AE38" s="12"/>
    </row>
    <row r="39" customFormat="false" ht="15" hidden="false" customHeight="false" outlineLevel="0" collapsed="false">
      <c r="A39" s="13" t="n">
        <v>46361</v>
      </c>
      <c r="B39" s="14" t="n">
        <f aca="false">INT((A39-$A$5)/7)+1</f>
        <v>5</v>
      </c>
      <c r="C39" s="14" t="s">
        <v>63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 t="str">
        <f aca="false">IF(COUNTA(D39:Y39)=0,"",COUNTIF(D39:Y39,"✅")/22)</f>
        <v/>
      </c>
      <c r="AC39" s="12"/>
      <c r="AD39" s="12"/>
      <c r="AE39" s="12"/>
    </row>
    <row r="40" customFormat="false" ht="15" hidden="false" customHeight="false" outlineLevel="0" collapsed="false">
      <c r="A40" s="8" t="n">
        <v>46362</v>
      </c>
      <c r="B40" s="9" t="n">
        <f aca="false">INT((A40-$A$5)/7)+1</f>
        <v>6</v>
      </c>
      <c r="C40" s="9" t="s">
        <v>52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 t="str">
        <f aca="false">IF(COUNTA(D40:Y40)=0,"",COUNTIF(D40:Y40,"✅")/22)</f>
        <v/>
      </c>
      <c r="AC40" s="12"/>
      <c r="AD40" s="12"/>
      <c r="AE40" s="12"/>
    </row>
    <row r="41" customFormat="false" ht="15" hidden="false" customHeight="false" outlineLevel="0" collapsed="false">
      <c r="A41" s="13" t="n">
        <v>46363</v>
      </c>
      <c r="B41" s="14" t="n">
        <f aca="false">INT((A41-$A$5)/7)+1</f>
        <v>6</v>
      </c>
      <c r="C41" s="14" t="s">
        <v>58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 t="str">
        <f aca="false">IF(COUNTA(D41:Y41)=0,"",COUNTIF(D41:Y41,"✅")/22)</f>
        <v/>
      </c>
      <c r="AC41" s="12"/>
      <c r="AD41" s="12"/>
      <c r="AE41" s="12"/>
    </row>
    <row r="42" customFormat="false" ht="15" hidden="false" customHeight="false" outlineLevel="0" collapsed="false">
      <c r="A42" s="13" t="n">
        <v>46364</v>
      </c>
      <c r="B42" s="14" t="n">
        <f aca="false">INT((A42-$A$5)/7)+1</f>
        <v>6</v>
      </c>
      <c r="C42" s="14" t="s">
        <v>59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 t="str">
        <f aca="false">IF(COUNTA(D42:Y42)=0,"",COUNTIF(D42:Y42,"✅")/22)</f>
        <v/>
      </c>
      <c r="AC42" s="12"/>
      <c r="AD42" s="12"/>
      <c r="AE42" s="12"/>
    </row>
    <row r="43" customFormat="false" ht="15" hidden="false" customHeight="false" outlineLevel="0" collapsed="false">
      <c r="A43" s="13" t="n">
        <v>46365</v>
      </c>
      <c r="B43" s="14" t="n">
        <f aca="false">INT((A43-$A$5)/7)+1</f>
        <v>6</v>
      </c>
      <c r="C43" s="14" t="s">
        <v>60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 t="str">
        <f aca="false">IF(COUNTA(D43:Y43)=0,"",COUNTIF(D43:Y43,"✅")/22)</f>
        <v/>
      </c>
      <c r="AC43" s="12"/>
      <c r="AD43" s="12"/>
      <c r="AE43" s="12"/>
    </row>
    <row r="44" customFormat="false" ht="15" hidden="false" customHeight="false" outlineLevel="0" collapsed="false">
      <c r="A44" s="13" t="n">
        <v>46366</v>
      </c>
      <c r="B44" s="14" t="n">
        <f aca="false">INT((A44-$A$5)/7)+1</f>
        <v>6</v>
      </c>
      <c r="C44" s="14" t="s">
        <v>61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 t="str">
        <f aca="false">IF(COUNTA(D44:Y44)=0,"",COUNTIF(D44:Y44,"✅")/22)</f>
        <v/>
      </c>
      <c r="AC44" s="12"/>
      <c r="AD44" s="12"/>
      <c r="AE44" s="12"/>
    </row>
    <row r="45" customFormat="false" ht="15" hidden="false" customHeight="false" outlineLevel="0" collapsed="false">
      <c r="A45" s="13" t="n">
        <v>46367</v>
      </c>
      <c r="B45" s="14" t="n">
        <f aca="false">INT((A45-$A$5)/7)+1</f>
        <v>6</v>
      </c>
      <c r="C45" s="14" t="s">
        <v>62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 t="str">
        <f aca="false">IF(COUNTA(D45:Y45)=0,"",COUNTIF(D45:Y45,"✅")/22)</f>
        <v/>
      </c>
      <c r="AC45" s="12"/>
      <c r="AD45" s="12"/>
      <c r="AE45" s="12"/>
    </row>
    <row r="46" customFormat="false" ht="15" hidden="false" customHeight="false" outlineLevel="0" collapsed="false">
      <c r="A46" s="13" t="n">
        <v>46368</v>
      </c>
      <c r="B46" s="14" t="n">
        <f aca="false">INT((A46-$A$5)/7)+1</f>
        <v>6</v>
      </c>
      <c r="C46" s="14" t="s">
        <v>63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 t="str">
        <f aca="false">IF(COUNTA(D46:Y46)=0,"",COUNTIF(D46:Y46,"✅")/22)</f>
        <v/>
      </c>
      <c r="AC46" s="12"/>
      <c r="AD46" s="12"/>
      <c r="AE46" s="12"/>
    </row>
    <row r="47" customFormat="false" ht="15" hidden="false" customHeight="false" outlineLevel="0" collapsed="false">
      <c r="A47" s="8" t="n">
        <v>46369</v>
      </c>
      <c r="B47" s="9" t="n">
        <f aca="false">INT((A47-$A$5)/7)+1</f>
        <v>7</v>
      </c>
      <c r="C47" s="9" t="s">
        <v>52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 t="str">
        <f aca="false">IF(COUNTA(D47:Y47)=0,"",COUNTIF(D47:Y47,"✅")/22)</f>
        <v/>
      </c>
      <c r="AC47" s="12"/>
      <c r="AD47" s="12"/>
      <c r="AE47" s="12"/>
    </row>
    <row r="48" customFormat="false" ht="15" hidden="false" customHeight="false" outlineLevel="0" collapsed="false">
      <c r="A48" s="13" t="n">
        <v>46370</v>
      </c>
      <c r="B48" s="14" t="n">
        <f aca="false">INT((A48-$A$5)/7)+1</f>
        <v>7</v>
      </c>
      <c r="C48" s="14" t="s">
        <v>58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 t="str">
        <f aca="false">IF(COUNTA(D48:Y48)=0,"",COUNTIF(D48:Y48,"✅")/22)</f>
        <v/>
      </c>
      <c r="AC48" s="12"/>
      <c r="AD48" s="12"/>
      <c r="AE48" s="12"/>
    </row>
    <row r="49" customFormat="false" ht="15" hidden="false" customHeight="false" outlineLevel="0" collapsed="false">
      <c r="A49" s="13" t="n">
        <v>46371</v>
      </c>
      <c r="B49" s="14" t="n">
        <f aca="false">INT((A49-$A$5)/7)+1</f>
        <v>7</v>
      </c>
      <c r="C49" s="14" t="s">
        <v>59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 t="str">
        <f aca="false">IF(COUNTA(D49:Y49)=0,"",COUNTIF(D49:Y49,"✅")/22)</f>
        <v/>
      </c>
      <c r="AC49" s="12"/>
      <c r="AD49" s="12"/>
      <c r="AE49" s="12"/>
    </row>
    <row r="50" customFormat="false" ht="15" hidden="false" customHeight="false" outlineLevel="0" collapsed="false">
      <c r="A50" s="13" t="n">
        <v>46372</v>
      </c>
      <c r="B50" s="14" t="n">
        <f aca="false">INT((A50-$A$5)/7)+1</f>
        <v>7</v>
      </c>
      <c r="C50" s="14" t="s">
        <v>60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 t="str">
        <f aca="false">IF(COUNTA(D50:Y50)=0,"",COUNTIF(D50:Y50,"✅")/22)</f>
        <v/>
      </c>
      <c r="AC50" s="12"/>
      <c r="AD50" s="12"/>
      <c r="AE50" s="12"/>
    </row>
    <row r="51" customFormat="false" ht="15" hidden="false" customHeight="false" outlineLevel="0" collapsed="false">
      <c r="A51" s="13" t="n">
        <v>46373</v>
      </c>
      <c r="B51" s="14" t="n">
        <f aca="false">INT((A51-$A$5)/7)+1</f>
        <v>7</v>
      </c>
      <c r="C51" s="14" t="s">
        <v>61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 t="str">
        <f aca="false">IF(COUNTA(D51:Y51)=0,"",COUNTIF(D51:Y51,"✅")/22)</f>
        <v/>
      </c>
      <c r="AC51" s="12"/>
      <c r="AD51" s="12"/>
      <c r="AE51" s="12"/>
    </row>
    <row r="52" customFormat="false" ht="15" hidden="false" customHeight="false" outlineLevel="0" collapsed="false">
      <c r="A52" s="13" t="n">
        <v>46374</v>
      </c>
      <c r="B52" s="14" t="n">
        <f aca="false">INT((A52-$A$5)/7)+1</f>
        <v>7</v>
      </c>
      <c r="C52" s="14" t="s">
        <v>62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 t="str">
        <f aca="false">IF(COUNTA(D52:Y52)=0,"",COUNTIF(D52:Y52,"✅")/22)</f>
        <v/>
      </c>
      <c r="AC52" s="12"/>
      <c r="AD52" s="12"/>
      <c r="AE52" s="12"/>
    </row>
    <row r="53" customFormat="false" ht="15" hidden="false" customHeight="false" outlineLevel="0" collapsed="false">
      <c r="A53" s="13" t="n">
        <v>46375</v>
      </c>
      <c r="B53" s="14" t="n">
        <f aca="false">INT((A53-$A$5)/7)+1</f>
        <v>7</v>
      </c>
      <c r="C53" s="14" t="s">
        <v>63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 t="str">
        <f aca="false">IF(COUNTA(D53:Y53)=0,"",COUNTIF(D53:Y53,"✅")/22)</f>
        <v/>
      </c>
      <c r="AC53" s="12"/>
      <c r="AD53" s="12"/>
      <c r="AE53" s="12"/>
    </row>
    <row r="54" customFormat="false" ht="15" hidden="false" customHeight="false" outlineLevel="0" collapsed="false">
      <c r="A54" s="8" t="n">
        <v>46376</v>
      </c>
      <c r="B54" s="9" t="n">
        <f aca="false">INT((A54-$A$5)/7)+1</f>
        <v>8</v>
      </c>
      <c r="C54" s="9" t="s">
        <v>52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 t="str">
        <f aca="false">IF(COUNTA(D54:Y54)=0,"",COUNTIF(D54:Y54,"✅")/22)</f>
        <v/>
      </c>
      <c r="AC54" s="12"/>
      <c r="AD54" s="12"/>
      <c r="AE54" s="12"/>
    </row>
    <row r="55" customFormat="false" ht="15" hidden="false" customHeight="false" outlineLevel="0" collapsed="false">
      <c r="A55" s="13" t="n">
        <v>46377</v>
      </c>
      <c r="B55" s="14" t="n">
        <f aca="false">INT((A55-$A$5)/7)+1</f>
        <v>8</v>
      </c>
      <c r="C55" s="14" t="s">
        <v>58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 t="str">
        <f aca="false">IF(COUNTA(D55:Y55)=0,"",COUNTIF(D55:Y55,"✅")/22)</f>
        <v/>
      </c>
      <c r="AC55" s="12"/>
      <c r="AD55" s="12"/>
      <c r="AE55" s="12"/>
    </row>
    <row r="56" customFormat="false" ht="15" hidden="false" customHeight="false" outlineLevel="0" collapsed="false">
      <c r="A56" s="13" t="n">
        <v>46378</v>
      </c>
      <c r="B56" s="14" t="n">
        <f aca="false">INT((A56-$A$5)/7)+1</f>
        <v>8</v>
      </c>
      <c r="C56" s="14" t="s">
        <v>59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 t="str">
        <f aca="false">IF(COUNTA(D56:Y56)=0,"",COUNTIF(D56:Y56,"✅")/22)</f>
        <v/>
      </c>
      <c r="AC56" s="12"/>
      <c r="AD56" s="12"/>
      <c r="AE56" s="12"/>
    </row>
    <row r="57" customFormat="false" ht="15" hidden="false" customHeight="false" outlineLevel="0" collapsed="false">
      <c r="A57" s="13" t="n">
        <v>46379</v>
      </c>
      <c r="B57" s="14" t="n">
        <f aca="false">INT((A57-$A$5)/7)+1</f>
        <v>8</v>
      </c>
      <c r="C57" s="14" t="s">
        <v>60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 t="str">
        <f aca="false">IF(COUNTA(D57:Y57)=0,"",COUNTIF(D57:Y57,"✅")/22)</f>
        <v/>
      </c>
      <c r="AC57" s="12"/>
      <c r="AD57" s="12"/>
      <c r="AE57" s="12"/>
    </row>
    <row r="58" customFormat="false" ht="15" hidden="false" customHeight="false" outlineLevel="0" collapsed="false">
      <c r="A58" s="13" t="n">
        <v>46380</v>
      </c>
      <c r="B58" s="14" t="n">
        <f aca="false">INT((A58-$A$5)/7)+1</f>
        <v>8</v>
      </c>
      <c r="C58" s="14" t="s">
        <v>61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 t="str">
        <f aca="false">IF(COUNTA(D58:Y58)=0,"",COUNTIF(D58:Y58,"✅")/22)</f>
        <v/>
      </c>
      <c r="AC58" s="12"/>
      <c r="AD58" s="12"/>
      <c r="AE58" s="12"/>
    </row>
    <row r="59" customFormat="false" ht="15" hidden="false" customHeight="false" outlineLevel="0" collapsed="false">
      <c r="A59" s="13" t="n">
        <v>46381</v>
      </c>
      <c r="B59" s="14" t="n">
        <f aca="false">INT((A59-$A$5)/7)+1</f>
        <v>8</v>
      </c>
      <c r="C59" s="14" t="s">
        <v>62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 t="str">
        <f aca="false">IF(COUNTA(D59:Y59)=0,"",COUNTIF(D59:Y59,"✅")/22)</f>
        <v/>
      </c>
      <c r="AC59" s="12"/>
      <c r="AD59" s="12"/>
      <c r="AE59" s="12"/>
    </row>
    <row r="60" customFormat="false" ht="15" hidden="false" customHeight="false" outlineLevel="0" collapsed="false">
      <c r="A60" s="13" t="n">
        <v>46382</v>
      </c>
      <c r="B60" s="14" t="n">
        <f aca="false">INT((A60-$A$5)/7)+1</f>
        <v>8</v>
      </c>
      <c r="C60" s="14" t="s">
        <v>63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 t="str">
        <f aca="false">IF(COUNTA(D60:Y60)=0,"",COUNTIF(D60:Y60,"✅")/22)</f>
        <v/>
      </c>
      <c r="AC60" s="12"/>
      <c r="AD60" s="12"/>
      <c r="AE60" s="12"/>
    </row>
    <row r="61" customFormat="false" ht="15" hidden="false" customHeight="false" outlineLevel="0" collapsed="false">
      <c r="A61" s="8" t="n">
        <v>46383</v>
      </c>
      <c r="B61" s="9" t="n">
        <f aca="false">INT((A61-$A$5)/7)+1</f>
        <v>9</v>
      </c>
      <c r="C61" s="9" t="s">
        <v>52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 t="str">
        <f aca="false">IF(COUNTA(D61:Y61)=0,"",COUNTIF(D61:Y61,"✅")/22)</f>
        <v/>
      </c>
      <c r="AC61" s="12"/>
      <c r="AD61" s="12"/>
      <c r="AE61" s="12"/>
    </row>
    <row r="62" customFormat="false" ht="15" hidden="false" customHeight="false" outlineLevel="0" collapsed="false">
      <c r="A62" s="13" t="n">
        <v>46384</v>
      </c>
      <c r="B62" s="14" t="n">
        <f aca="false">INT((A62-$A$5)/7)+1</f>
        <v>9</v>
      </c>
      <c r="C62" s="14" t="s">
        <v>58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 t="str">
        <f aca="false">IF(COUNTA(D62:Y62)=0,"",COUNTIF(D62:Y62,"✅")/22)</f>
        <v/>
      </c>
      <c r="AC62" s="12"/>
      <c r="AD62" s="12"/>
      <c r="AE62" s="12"/>
    </row>
    <row r="63" customFormat="false" ht="15" hidden="false" customHeight="false" outlineLevel="0" collapsed="false">
      <c r="A63" s="13" t="n">
        <v>46385</v>
      </c>
      <c r="B63" s="14" t="n">
        <f aca="false">INT((A63-$A$5)/7)+1</f>
        <v>9</v>
      </c>
      <c r="C63" s="14" t="s">
        <v>59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 t="str">
        <f aca="false">IF(COUNTA(D63:Y63)=0,"",COUNTIF(D63:Y63,"✅")/22)</f>
        <v/>
      </c>
      <c r="AC63" s="12"/>
      <c r="AD63" s="12"/>
      <c r="AE63" s="12"/>
    </row>
    <row r="64" customFormat="false" ht="15" hidden="false" customHeight="false" outlineLevel="0" collapsed="false">
      <c r="A64" s="13" t="n">
        <v>46386</v>
      </c>
      <c r="B64" s="14" t="n">
        <f aca="false">INT((A64-$A$5)/7)+1</f>
        <v>9</v>
      </c>
      <c r="C64" s="14" t="s">
        <v>60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 t="str">
        <f aca="false">IF(COUNTA(D64:Y64)=0,"",COUNTIF(D64:Y64,"✅")/22)</f>
        <v/>
      </c>
      <c r="AC64" s="12"/>
      <c r="AD64" s="12"/>
      <c r="AE64" s="12"/>
    </row>
    <row r="65" customFormat="false" ht="15" hidden="false" customHeight="false" outlineLevel="0" collapsed="false">
      <c r="A65" s="13" t="n">
        <v>46387</v>
      </c>
      <c r="B65" s="14" t="n">
        <f aca="false">INT((A65-$A$5)/7)+1</f>
        <v>9</v>
      </c>
      <c r="C65" s="14" t="s">
        <v>61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 t="str">
        <f aca="false">IF(COUNTA(D65:Y65)=0,"",COUNTIF(D65:Y65,"✅")/22)</f>
        <v/>
      </c>
      <c r="AC65" s="12"/>
      <c r="AD65" s="12"/>
      <c r="AE65" s="12"/>
    </row>
    <row r="66" customFormat="false" ht="15" hidden="false" customHeight="false" outlineLevel="0" collapsed="false">
      <c r="A66" s="13" t="n">
        <v>46388</v>
      </c>
      <c r="B66" s="14" t="n">
        <f aca="false">INT((A66-$A$5)/7)+1</f>
        <v>9</v>
      </c>
      <c r="C66" s="14" t="s">
        <v>62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 t="str">
        <f aca="false">IF(COUNTA(D66:Y66)=0,"",COUNTIF(D66:Y66,"✅")/22)</f>
        <v/>
      </c>
      <c r="AC66" s="12"/>
      <c r="AD66" s="12"/>
      <c r="AE66" s="12"/>
    </row>
    <row r="67" customFormat="false" ht="15" hidden="false" customHeight="false" outlineLevel="0" collapsed="false">
      <c r="A67" s="13" t="n">
        <v>46389</v>
      </c>
      <c r="B67" s="14" t="n">
        <f aca="false">INT((A67-$A$5)/7)+1</f>
        <v>9</v>
      </c>
      <c r="C67" s="14" t="s">
        <v>63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 t="str">
        <f aca="false">IF(COUNTA(D67:Y67)=0,"",COUNTIF(D67:Y67,"✅")/22)</f>
        <v/>
      </c>
      <c r="AC67" s="12"/>
      <c r="AD67" s="12"/>
      <c r="AE67" s="12"/>
    </row>
  </sheetData>
  <mergeCells count="2">
    <mergeCell ref="A1:AE1"/>
    <mergeCell ref="A2:AE2"/>
  </mergeCells>
  <conditionalFormatting sqref="D5:AA67">
    <cfRule type="cellIs" priority="2" operator="equal" aboveAverage="0" equalAverage="0" bottom="0" percent="0" rank="0" text="" dxfId="0">
      <formula>"✅"</formula>
    </cfRule>
    <cfRule type="cellIs" priority="3" operator="equal" aboveAverage="0" equalAverage="0" bottom="0" percent="0" rank="0" text="" dxfId="1">
      <formula>"❌"</formula>
    </cfRule>
  </conditionalFormatting>
  <conditionalFormatting sqref="AB5:AB67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Z5:Z67">
    <cfRule type="expression" priority="5" aboveAverage="0" equalAverage="0" bottom="0" percent="0" rank="0" text="" dxfId="0">
      <formula>AND(Z5&lt;&gt;"",Z5&gt;=2)</formula>
    </cfRule>
    <cfRule type="expression" priority="6" aboveAverage="0" equalAverage="0" bottom="0" percent="0" rank="0" text="" dxfId="1">
      <formula>AND(Z5&lt;&gt;"",Z5&lt;2)</formula>
    </cfRule>
  </conditionalFormatting>
  <conditionalFormatting sqref="AA5:AA67">
    <cfRule type="expression" priority="7" aboveAverage="0" equalAverage="0" bottom="0" percent="0" rank="0" text="" dxfId="0">
      <formula>AND(AA5&lt;&gt;"",AA5&gt;=20)</formula>
    </cfRule>
    <cfRule type="expression" priority="8" aboveAverage="0" equalAverage="0" bottom="0" percent="0" rank="0" text="" dxfId="1">
      <formula>AND(AA5&lt;&gt;"",AA5&lt;20)</formula>
    </cfRule>
  </conditionalFormatting>
  <dataValidations count="2">
    <dataValidation allowBlank="true" errorStyle="stop" operator="between" showDropDown="false" showErrorMessage="false" showInputMessage="false" sqref="Z5:AA67" type="decimal">
      <formula1>0</formula1>
      <formula2>24</formula2>
    </dataValidation>
    <dataValidation allowBlank="true" errorStyle="stop" operator="between" showDropDown="false" showErrorMessage="false" showInputMessage="false" sqref="D5:Y67" type="list">
      <formula1>"✅,❌"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27" min="4" style="0" width="9"/>
    <col collapsed="false" customWidth="true" hidden="false" outlineLevel="0" max="28" min="28" style="0" width="8"/>
    <col collapsed="false" customWidth="true" hidden="false" outlineLevel="0" max="31" min="29" style="0" width="30"/>
  </cols>
  <sheetData>
    <row r="1" customFormat="false" ht="27.75" hidden="false" customHeight="true" outlineLevel="0" collapsed="false">
      <c r="A1" s="5" t="s">
        <v>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customFormat="false" ht="15" hidden="false" customHeight="false" outlineLevel="0" collapsed="false">
      <c r="A2" s="6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4" customFormat="false" ht="42" hidden="false" customHeight="true" outlineLevel="0" collapsed="false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32</v>
      </c>
      <c r="M4" s="7" t="s">
        <v>33</v>
      </c>
      <c r="N4" s="7" t="s">
        <v>34</v>
      </c>
      <c r="O4" s="7" t="s">
        <v>35</v>
      </c>
      <c r="P4" s="7" t="s">
        <v>36</v>
      </c>
      <c r="Q4" s="7" t="s">
        <v>37</v>
      </c>
      <c r="R4" s="7" t="s">
        <v>38</v>
      </c>
      <c r="S4" s="7" t="s">
        <v>39</v>
      </c>
      <c r="T4" s="7" t="s">
        <v>40</v>
      </c>
      <c r="U4" s="7" t="s">
        <v>41</v>
      </c>
      <c r="V4" s="7" t="s">
        <v>42</v>
      </c>
      <c r="W4" s="7" t="s">
        <v>43</v>
      </c>
      <c r="X4" s="7" t="s">
        <v>44</v>
      </c>
      <c r="Y4" s="7" t="s">
        <v>45</v>
      </c>
      <c r="Z4" s="7" t="s">
        <v>46</v>
      </c>
      <c r="AA4" s="7" t="s">
        <v>47</v>
      </c>
      <c r="AB4" s="7" t="s">
        <v>48</v>
      </c>
      <c r="AC4" s="7" t="s">
        <v>49</v>
      </c>
      <c r="AD4" s="7" t="s">
        <v>50</v>
      </c>
      <c r="AE4" s="7" t="s">
        <v>51</v>
      </c>
    </row>
    <row r="5" customFormat="false" ht="15" hidden="false" customHeight="false" outlineLevel="0" collapsed="false">
      <c r="A5" s="8" t="n">
        <v>46327</v>
      </c>
      <c r="B5" s="9" t="n">
        <f aca="false">INT((A5-$A$5)/7)+1</f>
        <v>1</v>
      </c>
      <c r="C5" s="9" t="s">
        <v>52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1" t="str">
        <f aca="false">IF(COUNTA(D5:Y5)=0,"",COUNTIF(D5:Y5,"✅")/22)</f>
        <v/>
      </c>
      <c r="AC5" s="12"/>
      <c r="AD5" s="12"/>
      <c r="AE5" s="12"/>
    </row>
    <row r="6" customFormat="false" ht="15" hidden="false" customHeight="false" outlineLevel="0" collapsed="false">
      <c r="A6" s="13" t="n">
        <v>46328</v>
      </c>
      <c r="B6" s="14" t="n">
        <f aca="false">INT((A6-$A$5)/7)+1</f>
        <v>1</v>
      </c>
      <c r="C6" s="14" t="s">
        <v>58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 t="str">
        <f aca="false">IF(COUNTA(D6:Y6)=0,"",COUNTIF(D6:Y6,"✅")/22)</f>
        <v/>
      </c>
      <c r="AC6" s="12"/>
      <c r="AD6" s="12"/>
      <c r="AE6" s="12"/>
    </row>
    <row r="7" customFormat="false" ht="15" hidden="false" customHeight="false" outlineLevel="0" collapsed="false">
      <c r="A7" s="13" t="n">
        <v>46329</v>
      </c>
      <c r="B7" s="14" t="n">
        <f aca="false">INT((A7-$A$5)/7)+1</f>
        <v>1</v>
      </c>
      <c r="C7" s="14" t="s">
        <v>59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 t="str">
        <f aca="false">IF(COUNTA(D7:Y7)=0,"",COUNTIF(D7:Y7,"✅")/22)</f>
        <v/>
      </c>
      <c r="AC7" s="12"/>
      <c r="AD7" s="12"/>
      <c r="AE7" s="12"/>
    </row>
    <row r="8" customFormat="false" ht="15" hidden="false" customHeight="false" outlineLevel="0" collapsed="false">
      <c r="A8" s="13" t="n">
        <v>46330</v>
      </c>
      <c r="B8" s="14" t="n">
        <f aca="false">INT((A8-$A$5)/7)+1</f>
        <v>1</v>
      </c>
      <c r="C8" s="14" t="s">
        <v>60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 t="str">
        <f aca="false">IF(COUNTA(D8:Y8)=0,"",COUNTIF(D8:Y8,"✅")/22)</f>
        <v/>
      </c>
      <c r="AC8" s="12"/>
      <c r="AD8" s="12"/>
      <c r="AE8" s="12"/>
    </row>
    <row r="9" customFormat="false" ht="15" hidden="false" customHeight="false" outlineLevel="0" collapsed="false">
      <c r="A9" s="13" t="n">
        <v>46331</v>
      </c>
      <c r="B9" s="14" t="n">
        <f aca="false">INT((A9-$A$5)/7)+1</f>
        <v>1</v>
      </c>
      <c r="C9" s="14" t="s">
        <v>61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 t="str">
        <f aca="false">IF(COUNTA(D9:Y9)=0,"",COUNTIF(D9:Y9,"✅")/22)</f>
        <v/>
      </c>
      <c r="AC9" s="12"/>
      <c r="AD9" s="12"/>
      <c r="AE9" s="12"/>
    </row>
    <row r="10" customFormat="false" ht="15" hidden="false" customHeight="false" outlineLevel="0" collapsed="false">
      <c r="A10" s="13" t="n">
        <v>46332</v>
      </c>
      <c r="B10" s="14" t="n">
        <f aca="false">INT((A10-$A$5)/7)+1</f>
        <v>1</v>
      </c>
      <c r="C10" s="14" t="s">
        <v>62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 t="str">
        <f aca="false">IF(COUNTA(D10:Y10)=0,"",COUNTIF(D10:Y10,"✅")/22)</f>
        <v/>
      </c>
      <c r="AC10" s="12"/>
      <c r="AD10" s="12"/>
      <c r="AE10" s="12"/>
    </row>
    <row r="11" customFormat="false" ht="15" hidden="false" customHeight="false" outlineLevel="0" collapsed="false">
      <c r="A11" s="13" t="n">
        <v>46333</v>
      </c>
      <c r="B11" s="14" t="n">
        <f aca="false">INT((A11-$A$5)/7)+1</f>
        <v>1</v>
      </c>
      <c r="C11" s="14" t="s">
        <v>63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 t="str">
        <f aca="false">IF(COUNTA(D11:Y11)=0,"",COUNTIF(D11:Y11,"✅")/22)</f>
        <v/>
      </c>
      <c r="AC11" s="12"/>
      <c r="AD11" s="12"/>
      <c r="AE11" s="12"/>
    </row>
    <row r="12" customFormat="false" ht="15" hidden="false" customHeight="false" outlineLevel="0" collapsed="false">
      <c r="A12" s="8" t="n">
        <v>46334</v>
      </c>
      <c r="B12" s="9" t="n">
        <f aca="false">INT((A12-$A$5)/7)+1</f>
        <v>2</v>
      </c>
      <c r="C12" s="9" t="s">
        <v>52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 t="str">
        <f aca="false">IF(COUNTA(D12:Y12)=0,"",COUNTIF(D12:Y12,"✅")/22)</f>
        <v/>
      </c>
      <c r="AC12" s="12"/>
      <c r="AD12" s="12"/>
      <c r="AE12" s="12"/>
    </row>
    <row r="13" customFormat="false" ht="15" hidden="false" customHeight="false" outlineLevel="0" collapsed="false">
      <c r="A13" s="13" t="n">
        <v>46335</v>
      </c>
      <c r="B13" s="14" t="n">
        <f aca="false">INT((A13-$A$5)/7)+1</f>
        <v>2</v>
      </c>
      <c r="C13" s="14" t="s">
        <v>58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 t="str">
        <f aca="false">IF(COUNTA(D13:Y13)=0,"",COUNTIF(D13:Y13,"✅")/22)</f>
        <v/>
      </c>
      <c r="AC13" s="12"/>
      <c r="AD13" s="12"/>
      <c r="AE13" s="12"/>
    </row>
    <row r="14" customFormat="false" ht="15" hidden="false" customHeight="false" outlineLevel="0" collapsed="false">
      <c r="A14" s="13" t="n">
        <v>46336</v>
      </c>
      <c r="B14" s="14" t="n">
        <f aca="false">INT((A14-$A$5)/7)+1</f>
        <v>2</v>
      </c>
      <c r="C14" s="14" t="s">
        <v>59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 t="str">
        <f aca="false">IF(COUNTA(D14:Y14)=0,"",COUNTIF(D14:Y14,"✅")/22)</f>
        <v/>
      </c>
      <c r="AC14" s="12"/>
      <c r="AD14" s="12"/>
      <c r="AE14" s="12"/>
    </row>
    <row r="15" customFormat="false" ht="15" hidden="false" customHeight="false" outlineLevel="0" collapsed="false">
      <c r="A15" s="13" t="n">
        <v>46337</v>
      </c>
      <c r="B15" s="14" t="n">
        <f aca="false">INT((A15-$A$5)/7)+1</f>
        <v>2</v>
      </c>
      <c r="C15" s="14" t="s">
        <v>60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 t="str">
        <f aca="false">IF(COUNTA(D15:Y15)=0,"",COUNTIF(D15:Y15,"✅")/22)</f>
        <v/>
      </c>
      <c r="AC15" s="12"/>
      <c r="AD15" s="12"/>
      <c r="AE15" s="12"/>
    </row>
    <row r="16" customFormat="false" ht="15" hidden="false" customHeight="false" outlineLevel="0" collapsed="false">
      <c r="A16" s="13" t="n">
        <v>46338</v>
      </c>
      <c r="B16" s="14" t="n">
        <f aca="false">INT((A16-$A$5)/7)+1</f>
        <v>2</v>
      </c>
      <c r="C16" s="14" t="s">
        <v>61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 t="str">
        <f aca="false">IF(COUNTA(D16:Y16)=0,"",COUNTIF(D16:Y16,"✅")/22)</f>
        <v/>
      </c>
      <c r="AC16" s="12"/>
      <c r="AD16" s="12"/>
      <c r="AE16" s="12"/>
    </row>
    <row r="17" customFormat="false" ht="15" hidden="false" customHeight="false" outlineLevel="0" collapsed="false">
      <c r="A17" s="13" t="n">
        <v>46339</v>
      </c>
      <c r="B17" s="14" t="n">
        <f aca="false">INT((A17-$A$5)/7)+1</f>
        <v>2</v>
      </c>
      <c r="C17" s="14" t="s">
        <v>62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 t="str">
        <f aca="false">IF(COUNTA(D17:Y17)=0,"",COUNTIF(D17:Y17,"✅")/22)</f>
        <v/>
      </c>
      <c r="AC17" s="12"/>
      <c r="AD17" s="12"/>
      <c r="AE17" s="12"/>
    </row>
    <row r="18" customFormat="false" ht="15" hidden="false" customHeight="false" outlineLevel="0" collapsed="false">
      <c r="A18" s="13" t="n">
        <v>46340</v>
      </c>
      <c r="B18" s="14" t="n">
        <f aca="false">INT((A18-$A$5)/7)+1</f>
        <v>2</v>
      </c>
      <c r="C18" s="14" t="s">
        <v>63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 t="str">
        <f aca="false">IF(COUNTA(D18:Y18)=0,"",COUNTIF(D18:Y18,"✅")/22)</f>
        <v/>
      </c>
      <c r="AC18" s="12"/>
      <c r="AD18" s="12"/>
      <c r="AE18" s="12"/>
    </row>
    <row r="19" customFormat="false" ht="15" hidden="false" customHeight="false" outlineLevel="0" collapsed="false">
      <c r="A19" s="8" t="n">
        <v>46341</v>
      </c>
      <c r="B19" s="9" t="n">
        <f aca="false">INT((A19-$A$5)/7)+1</f>
        <v>3</v>
      </c>
      <c r="C19" s="9" t="s">
        <v>52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 t="str">
        <f aca="false">IF(COUNTA(D19:Y19)=0,"",COUNTIF(D19:Y19,"✅")/22)</f>
        <v/>
      </c>
      <c r="AC19" s="12"/>
      <c r="AD19" s="12"/>
      <c r="AE19" s="12"/>
    </row>
    <row r="20" customFormat="false" ht="15" hidden="false" customHeight="false" outlineLevel="0" collapsed="false">
      <c r="A20" s="13" t="n">
        <v>46342</v>
      </c>
      <c r="B20" s="14" t="n">
        <f aca="false">INT((A20-$A$5)/7)+1</f>
        <v>3</v>
      </c>
      <c r="C20" s="14" t="s">
        <v>58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 t="str">
        <f aca="false">IF(COUNTA(D20:Y20)=0,"",COUNTIF(D20:Y20,"✅")/22)</f>
        <v/>
      </c>
      <c r="AC20" s="12"/>
      <c r="AD20" s="12"/>
      <c r="AE20" s="12"/>
    </row>
    <row r="21" customFormat="false" ht="15" hidden="false" customHeight="false" outlineLevel="0" collapsed="false">
      <c r="A21" s="13" t="n">
        <v>46343</v>
      </c>
      <c r="B21" s="14" t="n">
        <f aca="false">INT((A21-$A$5)/7)+1</f>
        <v>3</v>
      </c>
      <c r="C21" s="14" t="s">
        <v>59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 t="str">
        <f aca="false">IF(COUNTA(D21:Y21)=0,"",COUNTIF(D21:Y21,"✅")/22)</f>
        <v/>
      </c>
      <c r="AC21" s="12"/>
      <c r="AD21" s="12"/>
      <c r="AE21" s="12"/>
    </row>
    <row r="22" customFormat="false" ht="15" hidden="false" customHeight="false" outlineLevel="0" collapsed="false">
      <c r="A22" s="13" t="n">
        <v>46344</v>
      </c>
      <c r="B22" s="14" t="n">
        <f aca="false">INT((A22-$A$5)/7)+1</f>
        <v>3</v>
      </c>
      <c r="C22" s="14" t="s">
        <v>60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 t="str">
        <f aca="false">IF(COUNTA(D22:Y22)=0,"",COUNTIF(D22:Y22,"✅")/22)</f>
        <v/>
      </c>
      <c r="AC22" s="12"/>
      <c r="AD22" s="12"/>
      <c r="AE22" s="12"/>
    </row>
    <row r="23" customFormat="false" ht="15" hidden="false" customHeight="false" outlineLevel="0" collapsed="false">
      <c r="A23" s="13" t="n">
        <v>46345</v>
      </c>
      <c r="B23" s="14" t="n">
        <f aca="false">INT((A23-$A$5)/7)+1</f>
        <v>3</v>
      </c>
      <c r="C23" s="14" t="s">
        <v>61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 t="str">
        <f aca="false">IF(COUNTA(D23:Y23)=0,"",COUNTIF(D23:Y23,"✅")/22)</f>
        <v/>
      </c>
      <c r="AC23" s="12"/>
      <c r="AD23" s="12"/>
      <c r="AE23" s="12"/>
    </row>
    <row r="24" customFormat="false" ht="15" hidden="false" customHeight="false" outlineLevel="0" collapsed="false">
      <c r="A24" s="13" t="n">
        <v>46346</v>
      </c>
      <c r="B24" s="14" t="n">
        <f aca="false">INT((A24-$A$5)/7)+1</f>
        <v>3</v>
      </c>
      <c r="C24" s="14" t="s">
        <v>62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 t="str">
        <f aca="false">IF(COUNTA(D24:Y24)=0,"",COUNTIF(D24:Y24,"✅")/22)</f>
        <v/>
      </c>
      <c r="AC24" s="12"/>
      <c r="AD24" s="12"/>
      <c r="AE24" s="12"/>
    </row>
    <row r="25" customFormat="false" ht="15" hidden="false" customHeight="false" outlineLevel="0" collapsed="false">
      <c r="A25" s="13" t="n">
        <v>46347</v>
      </c>
      <c r="B25" s="14" t="n">
        <f aca="false">INT((A25-$A$5)/7)+1</f>
        <v>3</v>
      </c>
      <c r="C25" s="14" t="s">
        <v>63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 t="str">
        <f aca="false">IF(COUNTA(D25:Y25)=0,"",COUNTIF(D25:Y25,"✅")/22)</f>
        <v/>
      </c>
      <c r="AC25" s="12"/>
      <c r="AD25" s="12"/>
      <c r="AE25" s="12"/>
    </row>
    <row r="26" customFormat="false" ht="15" hidden="false" customHeight="false" outlineLevel="0" collapsed="false">
      <c r="A26" s="8" t="n">
        <v>46348</v>
      </c>
      <c r="B26" s="9" t="n">
        <f aca="false">INT((A26-$A$5)/7)+1</f>
        <v>4</v>
      </c>
      <c r="C26" s="9" t="s">
        <v>52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 t="str">
        <f aca="false">IF(COUNTA(D26:Y26)=0,"",COUNTIF(D26:Y26,"✅")/22)</f>
        <v/>
      </c>
      <c r="AC26" s="12"/>
      <c r="AD26" s="12"/>
      <c r="AE26" s="12"/>
    </row>
    <row r="27" customFormat="false" ht="15" hidden="false" customHeight="false" outlineLevel="0" collapsed="false">
      <c r="A27" s="13" t="n">
        <v>46349</v>
      </c>
      <c r="B27" s="14" t="n">
        <f aca="false">INT((A27-$A$5)/7)+1</f>
        <v>4</v>
      </c>
      <c r="C27" s="14" t="s">
        <v>58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 t="str">
        <f aca="false">IF(COUNTA(D27:Y27)=0,"",COUNTIF(D27:Y27,"✅")/22)</f>
        <v/>
      </c>
      <c r="AC27" s="12"/>
      <c r="AD27" s="12"/>
      <c r="AE27" s="12"/>
    </row>
    <row r="28" customFormat="false" ht="15" hidden="false" customHeight="false" outlineLevel="0" collapsed="false">
      <c r="A28" s="13" t="n">
        <v>46350</v>
      </c>
      <c r="B28" s="14" t="n">
        <f aca="false">INT((A28-$A$5)/7)+1</f>
        <v>4</v>
      </c>
      <c r="C28" s="14" t="s">
        <v>59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 t="str">
        <f aca="false">IF(COUNTA(D28:Y28)=0,"",COUNTIF(D28:Y28,"✅")/22)</f>
        <v/>
      </c>
      <c r="AC28" s="12"/>
      <c r="AD28" s="12"/>
      <c r="AE28" s="12"/>
    </row>
    <row r="29" customFormat="false" ht="15" hidden="false" customHeight="false" outlineLevel="0" collapsed="false">
      <c r="A29" s="13" t="n">
        <v>46351</v>
      </c>
      <c r="B29" s="14" t="n">
        <f aca="false">INT((A29-$A$5)/7)+1</f>
        <v>4</v>
      </c>
      <c r="C29" s="14" t="s">
        <v>60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 t="str">
        <f aca="false">IF(COUNTA(D29:Y29)=0,"",COUNTIF(D29:Y29,"✅")/22)</f>
        <v/>
      </c>
      <c r="AC29" s="12"/>
      <c r="AD29" s="12"/>
      <c r="AE29" s="12"/>
    </row>
    <row r="30" customFormat="false" ht="15" hidden="false" customHeight="false" outlineLevel="0" collapsed="false">
      <c r="A30" s="13" t="n">
        <v>46352</v>
      </c>
      <c r="B30" s="14" t="n">
        <f aca="false">INT((A30-$A$5)/7)+1</f>
        <v>4</v>
      </c>
      <c r="C30" s="14" t="s">
        <v>61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 t="str">
        <f aca="false">IF(COUNTA(D30:Y30)=0,"",COUNTIF(D30:Y30,"✅")/22)</f>
        <v/>
      </c>
      <c r="AC30" s="12"/>
      <c r="AD30" s="12"/>
      <c r="AE30" s="12"/>
    </row>
    <row r="31" customFormat="false" ht="15" hidden="false" customHeight="false" outlineLevel="0" collapsed="false">
      <c r="A31" s="13" t="n">
        <v>46353</v>
      </c>
      <c r="B31" s="14" t="n">
        <f aca="false">INT((A31-$A$5)/7)+1</f>
        <v>4</v>
      </c>
      <c r="C31" s="14" t="s">
        <v>62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 t="str">
        <f aca="false">IF(COUNTA(D31:Y31)=0,"",COUNTIF(D31:Y31,"✅")/22)</f>
        <v/>
      </c>
      <c r="AC31" s="12"/>
      <c r="AD31" s="12"/>
      <c r="AE31" s="12"/>
    </row>
    <row r="32" customFormat="false" ht="15" hidden="false" customHeight="false" outlineLevel="0" collapsed="false">
      <c r="A32" s="13" t="n">
        <v>46354</v>
      </c>
      <c r="B32" s="14" t="n">
        <f aca="false">INT((A32-$A$5)/7)+1</f>
        <v>4</v>
      </c>
      <c r="C32" s="14" t="s">
        <v>63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 t="str">
        <f aca="false">IF(COUNTA(D32:Y32)=0,"",COUNTIF(D32:Y32,"✅")/22)</f>
        <v/>
      </c>
      <c r="AC32" s="12"/>
      <c r="AD32" s="12"/>
      <c r="AE32" s="12"/>
    </row>
    <row r="33" customFormat="false" ht="15" hidden="false" customHeight="false" outlineLevel="0" collapsed="false">
      <c r="A33" s="8" t="n">
        <v>46355</v>
      </c>
      <c r="B33" s="9" t="n">
        <f aca="false">INT((A33-$A$5)/7)+1</f>
        <v>5</v>
      </c>
      <c r="C33" s="9" t="s">
        <v>52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 t="str">
        <f aca="false">IF(COUNTA(D33:Y33)=0,"",COUNTIF(D33:Y33,"✅")/22)</f>
        <v/>
      </c>
      <c r="AC33" s="12"/>
      <c r="AD33" s="12"/>
      <c r="AE33" s="12"/>
    </row>
    <row r="34" customFormat="false" ht="15" hidden="false" customHeight="false" outlineLevel="0" collapsed="false">
      <c r="A34" s="13" t="n">
        <v>46356</v>
      </c>
      <c r="B34" s="14" t="n">
        <f aca="false">INT((A34-$A$5)/7)+1</f>
        <v>5</v>
      </c>
      <c r="C34" s="14" t="s">
        <v>58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 t="str">
        <f aca="false">IF(COUNTA(D34:Y34)=0,"",COUNTIF(D34:Y34,"✅")/22)</f>
        <v/>
      </c>
      <c r="AC34" s="12"/>
      <c r="AD34" s="12"/>
      <c r="AE34" s="12"/>
    </row>
    <row r="35" customFormat="false" ht="15" hidden="false" customHeight="false" outlineLevel="0" collapsed="false">
      <c r="A35" s="13" t="n">
        <v>46357</v>
      </c>
      <c r="B35" s="14" t="n">
        <f aca="false">INT((A35-$A$5)/7)+1</f>
        <v>5</v>
      </c>
      <c r="C35" s="14" t="s">
        <v>59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 t="str">
        <f aca="false">IF(COUNTA(D35:Y35)=0,"",COUNTIF(D35:Y35,"✅")/22)</f>
        <v/>
      </c>
      <c r="AC35" s="12"/>
      <c r="AD35" s="12"/>
      <c r="AE35" s="12"/>
    </row>
    <row r="36" customFormat="false" ht="15" hidden="false" customHeight="false" outlineLevel="0" collapsed="false">
      <c r="A36" s="13" t="n">
        <v>46358</v>
      </c>
      <c r="B36" s="14" t="n">
        <f aca="false">INT((A36-$A$5)/7)+1</f>
        <v>5</v>
      </c>
      <c r="C36" s="14" t="s">
        <v>60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 t="str">
        <f aca="false">IF(COUNTA(D36:Y36)=0,"",COUNTIF(D36:Y36,"✅")/22)</f>
        <v/>
      </c>
      <c r="AC36" s="12"/>
      <c r="AD36" s="12"/>
      <c r="AE36" s="12"/>
    </row>
    <row r="37" customFormat="false" ht="15" hidden="false" customHeight="false" outlineLevel="0" collapsed="false">
      <c r="A37" s="13" t="n">
        <v>46359</v>
      </c>
      <c r="B37" s="14" t="n">
        <f aca="false">INT((A37-$A$5)/7)+1</f>
        <v>5</v>
      </c>
      <c r="C37" s="14" t="s">
        <v>61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 t="str">
        <f aca="false">IF(COUNTA(D37:Y37)=0,"",COUNTIF(D37:Y37,"✅")/22)</f>
        <v/>
      </c>
      <c r="AC37" s="12"/>
      <c r="AD37" s="12"/>
      <c r="AE37" s="12"/>
    </row>
    <row r="38" customFormat="false" ht="15" hidden="false" customHeight="false" outlineLevel="0" collapsed="false">
      <c r="A38" s="13" t="n">
        <v>46360</v>
      </c>
      <c r="B38" s="14" t="n">
        <f aca="false">INT((A38-$A$5)/7)+1</f>
        <v>5</v>
      </c>
      <c r="C38" s="14" t="s">
        <v>62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 t="str">
        <f aca="false">IF(COUNTA(D38:Y38)=0,"",COUNTIF(D38:Y38,"✅")/22)</f>
        <v/>
      </c>
      <c r="AC38" s="12"/>
      <c r="AD38" s="12"/>
      <c r="AE38" s="12"/>
    </row>
    <row r="39" customFormat="false" ht="15" hidden="false" customHeight="false" outlineLevel="0" collapsed="false">
      <c r="A39" s="13" t="n">
        <v>46361</v>
      </c>
      <c r="B39" s="14" t="n">
        <f aca="false">INT((A39-$A$5)/7)+1</f>
        <v>5</v>
      </c>
      <c r="C39" s="14" t="s">
        <v>63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 t="str">
        <f aca="false">IF(COUNTA(D39:Y39)=0,"",COUNTIF(D39:Y39,"✅")/22)</f>
        <v/>
      </c>
      <c r="AC39" s="12"/>
      <c r="AD39" s="12"/>
      <c r="AE39" s="12"/>
    </row>
    <row r="40" customFormat="false" ht="15" hidden="false" customHeight="false" outlineLevel="0" collapsed="false">
      <c r="A40" s="8" t="n">
        <v>46362</v>
      </c>
      <c r="B40" s="9" t="n">
        <f aca="false">INT((A40-$A$5)/7)+1</f>
        <v>6</v>
      </c>
      <c r="C40" s="9" t="s">
        <v>52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 t="str">
        <f aca="false">IF(COUNTA(D40:Y40)=0,"",COUNTIF(D40:Y40,"✅")/22)</f>
        <v/>
      </c>
      <c r="AC40" s="12"/>
      <c r="AD40" s="12"/>
      <c r="AE40" s="12"/>
    </row>
    <row r="41" customFormat="false" ht="15" hidden="false" customHeight="false" outlineLevel="0" collapsed="false">
      <c r="A41" s="13" t="n">
        <v>46363</v>
      </c>
      <c r="B41" s="14" t="n">
        <f aca="false">INT((A41-$A$5)/7)+1</f>
        <v>6</v>
      </c>
      <c r="C41" s="14" t="s">
        <v>58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 t="str">
        <f aca="false">IF(COUNTA(D41:Y41)=0,"",COUNTIF(D41:Y41,"✅")/22)</f>
        <v/>
      </c>
      <c r="AC41" s="12"/>
      <c r="AD41" s="12"/>
      <c r="AE41" s="12"/>
    </row>
    <row r="42" customFormat="false" ht="15" hidden="false" customHeight="false" outlineLevel="0" collapsed="false">
      <c r="A42" s="13" t="n">
        <v>46364</v>
      </c>
      <c r="B42" s="14" t="n">
        <f aca="false">INT((A42-$A$5)/7)+1</f>
        <v>6</v>
      </c>
      <c r="C42" s="14" t="s">
        <v>59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 t="str">
        <f aca="false">IF(COUNTA(D42:Y42)=0,"",COUNTIF(D42:Y42,"✅")/22)</f>
        <v/>
      </c>
      <c r="AC42" s="12"/>
      <c r="AD42" s="12"/>
      <c r="AE42" s="12"/>
    </row>
    <row r="43" customFormat="false" ht="15" hidden="false" customHeight="false" outlineLevel="0" collapsed="false">
      <c r="A43" s="13" t="n">
        <v>46365</v>
      </c>
      <c r="B43" s="14" t="n">
        <f aca="false">INT((A43-$A$5)/7)+1</f>
        <v>6</v>
      </c>
      <c r="C43" s="14" t="s">
        <v>60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 t="str">
        <f aca="false">IF(COUNTA(D43:Y43)=0,"",COUNTIF(D43:Y43,"✅")/22)</f>
        <v/>
      </c>
      <c r="AC43" s="12"/>
      <c r="AD43" s="12"/>
      <c r="AE43" s="12"/>
    </row>
    <row r="44" customFormat="false" ht="15" hidden="false" customHeight="false" outlineLevel="0" collapsed="false">
      <c r="A44" s="13" t="n">
        <v>46366</v>
      </c>
      <c r="B44" s="14" t="n">
        <f aca="false">INT((A44-$A$5)/7)+1</f>
        <v>6</v>
      </c>
      <c r="C44" s="14" t="s">
        <v>61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 t="str">
        <f aca="false">IF(COUNTA(D44:Y44)=0,"",COUNTIF(D44:Y44,"✅")/22)</f>
        <v/>
      </c>
      <c r="AC44" s="12"/>
      <c r="AD44" s="12"/>
      <c r="AE44" s="12"/>
    </row>
    <row r="45" customFormat="false" ht="15" hidden="false" customHeight="false" outlineLevel="0" collapsed="false">
      <c r="A45" s="13" t="n">
        <v>46367</v>
      </c>
      <c r="B45" s="14" t="n">
        <f aca="false">INT((A45-$A$5)/7)+1</f>
        <v>6</v>
      </c>
      <c r="C45" s="14" t="s">
        <v>62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 t="str">
        <f aca="false">IF(COUNTA(D45:Y45)=0,"",COUNTIF(D45:Y45,"✅")/22)</f>
        <v/>
      </c>
      <c r="AC45" s="12"/>
      <c r="AD45" s="12"/>
      <c r="AE45" s="12"/>
    </row>
    <row r="46" customFormat="false" ht="15" hidden="false" customHeight="false" outlineLevel="0" collapsed="false">
      <c r="A46" s="13" t="n">
        <v>46368</v>
      </c>
      <c r="B46" s="14" t="n">
        <f aca="false">INT((A46-$A$5)/7)+1</f>
        <v>6</v>
      </c>
      <c r="C46" s="14" t="s">
        <v>63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 t="str">
        <f aca="false">IF(COUNTA(D46:Y46)=0,"",COUNTIF(D46:Y46,"✅")/22)</f>
        <v/>
      </c>
      <c r="AC46" s="12"/>
      <c r="AD46" s="12"/>
      <c r="AE46" s="12"/>
    </row>
    <row r="47" customFormat="false" ht="15" hidden="false" customHeight="false" outlineLevel="0" collapsed="false">
      <c r="A47" s="8" t="n">
        <v>46369</v>
      </c>
      <c r="B47" s="9" t="n">
        <f aca="false">INT((A47-$A$5)/7)+1</f>
        <v>7</v>
      </c>
      <c r="C47" s="9" t="s">
        <v>52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 t="str">
        <f aca="false">IF(COUNTA(D47:Y47)=0,"",COUNTIF(D47:Y47,"✅")/22)</f>
        <v/>
      </c>
      <c r="AC47" s="12"/>
      <c r="AD47" s="12"/>
      <c r="AE47" s="12"/>
    </row>
    <row r="48" customFormat="false" ht="15" hidden="false" customHeight="false" outlineLevel="0" collapsed="false">
      <c r="A48" s="13" t="n">
        <v>46370</v>
      </c>
      <c r="B48" s="14" t="n">
        <f aca="false">INT((A48-$A$5)/7)+1</f>
        <v>7</v>
      </c>
      <c r="C48" s="14" t="s">
        <v>58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 t="str">
        <f aca="false">IF(COUNTA(D48:Y48)=0,"",COUNTIF(D48:Y48,"✅")/22)</f>
        <v/>
      </c>
      <c r="AC48" s="12"/>
      <c r="AD48" s="12"/>
      <c r="AE48" s="12"/>
    </row>
    <row r="49" customFormat="false" ht="15" hidden="false" customHeight="false" outlineLevel="0" collapsed="false">
      <c r="A49" s="13" t="n">
        <v>46371</v>
      </c>
      <c r="B49" s="14" t="n">
        <f aca="false">INT((A49-$A$5)/7)+1</f>
        <v>7</v>
      </c>
      <c r="C49" s="14" t="s">
        <v>59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 t="str">
        <f aca="false">IF(COUNTA(D49:Y49)=0,"",COUNTIF(D49:Y49,"✅")/22)</f>
        <v/>
      </c>
      <c r="AC49" s="12"/>
      <c r="AD49" s="12"/>
      <c r="AE49" s="12"/>
    </row>
    <row r="50" customFormat="false" ht="15" hidden="false" customHeight="false" outlineLevel="0" collapsed="false">
      <c r="A50" s="13" t="n">
        <v>46372</v>
      </c>
      <c r="B50" s="14" t="n">
        <f aca="false">INT((A50-$A$5)/7)+1</f>
        <v>7</v>
      </c>
      <c r="C50" s="14" t="s">
        <v>60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 t="str">
        <f aca="false">IF(COUNTA(D50:Y50)=0,"",COUNTIF(D50:Y50,"✅")/22)</f>
        <v/>
      </c>
      <c r="AC50" s="12"/>
      <c r="AD50" s="12"/>
      <c r="AE50" s="12"/>
    </row>
    <row r="51" customFormat="false" ht="15" hidden="false" customHeight="false" outlineLevel="0" collapsed="false">
      <c r="A51" s="13" t="n">
        <v>46373</v>
      </c>
      <c r="B51" s="14" t="n">
        <f aca="false">INT((A51-$A$5)/7)+1</f>
        <v>7</v>
      </c>
      <c r="C51" s="14" t="s">
        <v>61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 t="str">
        <f aca="false">IF(COUNTA(D51:Y51)=0,"",COUNTIF(D51:Y51,"✅")/22)</f>
        <v/>
      </c>
      <c r="AC51" s="12"/>
      <c r="AD51" s="12"/>
      <c r="AE51" s="12"/>
    </row>
    <row r="52" customFormat="false" ht="15" hidden="false" customHeight="false" outlineLevel="0" collapsed="false">
      <c r="A52" s="13" t="n">
        <v>46374</v>
      </c>
      <c r="B52" s="14" t="n">
        <f aca="false">INT((A52-$A$5)/7)+1</f>
        <v>7</v>
      </c>
      <c r="C52" s="14" t="s">
        <v>62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 t="str">
        <f aca="false">IF(COUNTA(D52:Y52)=0,"",COUNTIF(D52:Y52,"✅")/22)</f>
        <v/>
      </c>
      <c r="AC52" s="12"/>
      <c r="AD52" s="12"/>
      <c r="AE52" s="12"/>
    </row>
    <row r="53" customFormat="false" ht="15" hidden="false" customHeight="false" outlineLevel="0" collapsed="false">
      <c r="A53" s="13" t="n">
        <v>46375</v>
      </c>
      <c r="B53" s="14" t="n">
        <f aca="false">INT((A53-$A$5)/7)+1</f>
        <v>7</v>
      </c>
      <c r="C53" s="14" t="s">
        <v>63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 t="str">
        <f aca="false">IF(COUNTA(D53:Y53)=0,"",COUNTIF(D53:Y53,"✅")/22)</f>
        <v/>
      </c>
      <c r="AC53" s="12"/>
      <c r="AD53" s="12"/>
      <c r="AE53" s="12"/>
    </row>
    <row r="54" customFormat="false" ht="15" hidden="false" customHeight="false" outlineLevel="0" collapsed="false">
      <c r="A54" s="8" t="n">
        <v>46376</v>
      </c>
      <c r="B54" s="9" t="n">
        <f aca="false">INT((A54-$A$5)/7)+1</f>
        <v>8</v>
      </c>
      <c r="C54" s="9" t="s">
        <v>52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 t="str">
        <f aca="false">IF(COUNTA(D54:Y54)=0,"",COUNTIF(D54:Y54,"✅")/22)</f>
        <v/>
      </c>
      <c r="AC54" s="12"/>
      <c r="AD54" s="12"/>
      <c r="AE54" s="12"/>
    </row>
    <row r="55" customFormat="false" ht="15" hidden="false" customHeight="false" outlineLevel="0" collapsed="false">
      <c r="A55" s="13" t="n">
        <v>46377</v>
      </c>
      <c r="B55" s="14" t="n">
        <f aca="false">INT((A55-$A$5)/7)+1</f>
        <v>8</v>
      </c>
      <c r="C55" s="14" t="s">
        <v>58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 t="str">
        <f aca="false">IF(COUNTA(D55:Y55)=0,"",COUNTIF(D55:Y55,"✅")/22)</f>
        <v/>
      </c>
      <c r="AC55" s="12"/>
      <c r="AD55" s="12"/>
      <c r="AE55" s="12"/>
    </row>
    <row r="56" customFormat="false" ht="15" hidden="false" customHeight="false" outlineLevel="0" collapsed="false">
      <c r="A56" s="13" t="n">
        <v>46378</v>
      </c>
      <c r="B56" s="14" t="n">
        <f aca="false">INT((A56-$A$5)/7)+1</f>
        <v>8</v>
      </c>
      <c r="C56" s="14" t="s">
        <v>59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 t="str">
        <f aca="false">IF(COUNTA(D56:Y56)=0,"",COUNTIF(D56:Y56,"✅")/22)</f>
        <v/>
      </c>
      <c r="AC56" s="12"/>
      <c r="AD56" s="12"/>
      <c r="AE56" s="12"/>
    </row>
    <row r="57" customFormat="false" ht="15" hidden="false" customHeight="false" outlineLevel="0" collapsed="false">
      <c r="A57" s="13" t="n">
        <v>46379</v>
      </c>
      <c r="B57" s="14" t="n">
        <f aca="false">INT((A57-$A$5)/7)+1</f>
        <v>8</v>
      </c>
      <c r="C57" s="14" t="s">
        <v>60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 t="str">
        <f aca="false">IF(COUNTA(D57:Y57)=0,"",COUNTIF(D57:Y57,"✅")/22)</f>
        <v/>
      </c>
      <c r="AC57" s="12"/>
      <c r="AD57" s="12"/>
      <c r="AE57" s="12"/>
    </row>
    <row r="58" customFormat="false" ht="15" hidden="false" customHeight="false" outlineLevel="0" collapsed="false">
      <c r="A58" s="13" t="n">
        <v>46380</v>
      </c>
      <c r="B58" s="14" t="n">
        <f aca="false">INT((A58-$A$5)/7)+1</f>
        <v>8</v>
      </c>
      <c r="C58" s="14" t="s">
        <v>61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 t="str">
        <f aca="false">IF(COUNTA(D58:Y58)=0,"",COUNTIF(D58:Y58,"✅")/22)</f>
        <v/>
      </c>
      <c r="AC58" s="12"/>
      <c r="AD58" s="12"/>
      <c r="AE58" s="12"/>
    </row>
    <row r="59" customFormat="false" ht="15" hidden="false" customHeight="false" outlineLevel="0" collapsed="false">
      <c r="A59" s="13" t="n">
        <v>46381</v>
      </c>
      <c r="B59" s="14" t="n">
        <f aca="false">INT((A59-$A$5)/7)+1</f>
        <v>8</v>
      </c>
      <c r="C59" s="14" t="s">
        <v>62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 t="str">
        <f aca="false">IF(COUNTA(D59:Y59)=0,"",COUNTIF(D59:Y59,"✅")/22)</f>
        <v/>
      </c>
      <c r="AC59" s="12"/>
      <c r="AD59" s="12"/>
      <c r="AE59" s="12"/>
    </row>
    <row r="60" customFormat="false" ht="15" hidden="false" customHeight="false" outlineLevel="0" collapsed="false">
      <c r="A60" s="13" t="n">
        <v>46382</v>
      </c>
      <c r="B60" s="14" t="n">
        <f aca="false">INT((A60-$A$5)/7)+1</f>
        <v>8</v>
      </c>
      <c r="C60" s="14" t="s">
        <v>63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 t="str">
        <f aca="false">IF(COUNTA(D60:Y60)=0,"",COUNTIF(D60:Y60,"✅")/22)</f>
        <v/>
      </c>
      <c r="AC60" s="12"/>
      <c r="AD60" s="12"/>
      <c r="AE60" s="12"/>
    </row>
    <row r="61" customFormat="false" ht="15" hidden="false" customHeight="false" outlineLevel="0" collapsed="false">
      <c r="A61" s="8" t="n">
        <v>46383</v>
      </c>
      <c r="B61" s="9" t="n">
        <f aca="false">INT((A61-$A$5)/7)+1</f>
        <v>9</v>
      </c>
      <c r="C61" s="9" t="s">
        <v>52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 t="str">
        <f aca="false">IF(COUNTA(D61:Y61)=0,"",COUNTIF(D61:Y61,"✅")/22)</f>
        <v/>
      </c>
      <c r="AC61" s="12"/>
      <c r="AD61" s="12"/>
      <c r="AE61" s="12"/>
    </row>
    <row r="62" customFormat="false" ht="15" hidden="false" customHeight="false" outlineLevel="0" collapsed="false">
      <c r="A62" s="13" t="n">
        <v>46384</v>
      </c>
      <c r="B62" s="14" t="n">
        <f aca="false">INT((A62-$A$5)/7)+1</f>
        <v>9</v>
      </c>
      <c r="C62" s="14" t="s">
        <v>58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 t="str">
        <f aca="false">IF(COUNTA(D62:Y62)=0,"",COUNTIF(D62:Y62,"✅")/22)</f>
        <v/>
      </c>
      <c r="AC62" s="12"/>
      <c r="AD62" s="12"/>
      <c r="AE62" s="12"/>
    </row>
    <row r="63" customFormat="false" ht="15" hidden="false" customHeight="false" outlineLevel="0" collapsed="false">
      <c r="A63" s="13" t="n">
        <v>46385</v>
      </c>
      <c r="B63" s="14" t="n">
        <f aca="false">INT((A63-$A$5)/7)+1</f>
        <v>9</v>
      </c>
      <c r="C63" s="14" t="s">
        <v>59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 t="str">
        <f aca="false">IF(COUNTA(D63:Y63)=0,"",COUNTIF(D63:Y63,"✅")/22)</f>
        <v/>
      </c>
      <c r="AC63" s="12"/>
      <c r="AD63" s="12"/>
      <c r="AE63" s="12"/>
    </row>
    <row r="64" customFormat="false" ht="15" hidden="false" customHeight="false" outlineLevel="0" collapsed="false">
      <c r="A64" s="13" t="n">
        <v>46386</v>
      </c>
      <c r="B64" s="14" t="n">
        <f aca="false">INT((A64-$A$5)/7)+1</f>
        <v>9</v>
      </c>
      <c r="C64" s="14" t="s">
        <v>60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 t="str">
        <f aca="false">IF(COUNTA(D64:Y64)=0,"",COUNTIF(D64:Y64,"✅")/22)</f>
        <v/>
      </c>
      <c r="AC64" s="12"/>
      <c r="AD64" s="12"/>
      <c r="AE64" s="12"/>
    </row>
    <row r="65" customFormat="false" ht="15" hidden="false" customHeight="false" outlineLevel="0" collapsed="false">
      <c r="A65" s="13" t="n">
        <v>46387</v>
      </c>
      <c r="B65" s="14" t="n">
        <f aca="false">INT((A65-$A$5)/7)+1</f>
        <v>9</v>
      </c>
      <c r="C65" s="14" t="s">
        <v>61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 t="str">
        <f aca="false">IF(COUNTA(D65:Y65)=0,"",COUNTIF(D65:Y65,"✅")/22)</f>
        <v/>
      </c>
      <c r="AC65" s="12"/>
      <c r="AD65" s="12"/>
      <c r="AE65" s="12"/>
    </row>
    <row r="66" customFormat="false" ht="15" hidden="false" customHeight="false" outlineLevel="0" collapsed="false">
      <c r="A66" s="13" t="n">
        <v>46388</v>
      </c>
      <c r="B66" s="14" t="n">
        <f aca="false">INT((A66-$A$5)/7)+1</f>
        <v>9</v>
      </c>
      <c r="C66" s="14" t="s">
        <v>62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 t="str">
        <f aca="false">IF(COUNTA(D66:Y66)=0,"",COUNTIF(D66:Y66,"✅")/22)</f>
        <v/>
      </c>
      <c r="AC66" s="12"/>
      <c r="AD66" s="12"/>
      <c r="AE66" s="12"/>
    </row>
    <row r="67" customFormat="false" ht="15" hidden="false" customHeight="false" outlineLevel="0" collapsed="false">
      <c r="A67" s="13" t="n">
        <v>46389</v>
      </c>
      <c r="B67" s="14" t="n">
        <f aca="false">INT((A67-$A$5)/7)+1</f>
        <v>9</v>
      </c>
      <c r="C67" s="14" t="s">
        <v>63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 t="str">
        <f aca="false">IF(COUNTA(D67:Y67)=0,"",COUNTIF(D67:Y67,"✅")/22)</f>
        <v/>
      </c>
      <c r="AC67" s="12"/>
      <c r="AD67" s="12"/>
      <c r="AE67" s="12"/>
    </row>
  </sheetData>
  <mergeCells count="2">
    <mergeCell ref="A1:AE1"/>
    <mergeCell ref="A2:AE2"/>
  </mergeCells>
  <conditionalFormatting sqref="D5:AA67">
    <cfRule type="cellIs" priority="2" operator="equal" aboveAverage="0" equalAverage="0" bottom="0" percent="0" rank="0" text="" dxfId="0">
      <formula>"✅"</formula>
    </cfRule>
    <cfRule type="cellIs" priority="3" operator="equal" aboveAverage="0" equalAverage="0" bottom="0" percent="0" rank="0" text="" dxfId="1">
      <formula>"❌"</formula>
    </cfRule>
  </conditionalFormatting>
  <conditionalFormatting sqref="AB5:AB67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Z5:Z67">
    <cfRule type="expression" priority="5" aboveAverage="0" equalAverage="0" bottom="0" percent="0" rank="0" text="" dxfId="0">
      <formula>AND(Z5&lt;&gt;"",Z5&gt;=2)</formula>
    </cfRule>
    <cfRule type="expression" priority="6" aboveAverage="0" equalAverage="0" bottom="0" percent="0" rank="0" text="" dxfId="1">
      <formula>AND(Z5&lt;&gt;"",Z5&lt;2)</formula>
    </cfRule>
  </conditionalFormatting>
  <conditionalFormatting sqref="AA5:AA67">
    <cfRule type="expression" priority="7" aboveAverage="0" equalAverage="0" bottom="0" percent="0" rank="0" text="" dxfId="0">
      <formula>AND(AA5&lt;&gt;"",AA5&gt;=20)</formula>
    </cfRule>
    <cfRule type="expression" priority="8" aboveAverage="0" equalAverage="0" bottom="0" percent="0" rank="0" text="" dxfId="1">
      <formula>AND(AA5&lt;&gt;"",AA5&lt;20)</formula>
    </cfRule>
  </conditionalFormatting>
  <dataValidations count="2">
    <dataValidation allowBlank="true" errorStyle="stop" operator="between" showDropDown="false" showErrorMessage="false" showInputMessage="false" sqref="Z5:AA67" type="decimal">
      <formula1>0</formula1>
      <formula2>24</formula2>
    </dataValidation>
    <dataValidation allowBlank="true" errorStyle="stop" operator="between" showDropDown="false" showErrorMessage="false" showInputMessage="false" sqref="D5:Y67" type="list">
      <formula1>"✅,❌"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23" min="4" style="0" width="13"/>
  </cols>
  <sheetData>
    <row r="1" customFormat="false" ht="27.75" hidden="false" customHeight="true" outlineLevel="0" collapsed="false">
      <c r="A1" s="5" t="s">
        <v>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customFormat="false" ht="15" hidden="false" customHeight="false" outlineLevel="0" collapsed="false">
      <c r="A2" s="6" t="s">
        <v>69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4" customFormat="false" ht="42" hidden="false" customHeight="true" outlineLevel="0" collapsed="false">
      <c r="A4" s="15" t="s">
        <v>22</v>
      </c>
      <c r="B4" s="15" t="s">
        <v>70</v>
      </c>
      <c r="C4" s="15" t="s">
        <v>71</v>
      </c>
      <c r="D4" s="15" t="s">
        <v>72</v>
      </c>
      <c r="E4" s="15" t="s">
        <v>73</v>
      </c>
      <c r="F4" s="15" t="s">
        <v>74</v>
      </c>
      <c r="G4" s="15" t="s">
        <v>75</v>
      </c>
      <c r="H4" s="15" t="s">
        <v>76</v>
      </c>
      <c r="I4" s="15" t="s">
        <v>77</v>
      </c>
      <c r="J4" s="15" t="s">
        <v>78</v>
      </c>
      <c r="K4" s="15" t="s">
        <v>79</v>
      </c>
      <c r="L4" s="15" t="s">
        <v>80</v>
      </c>
      <c r="M4" s="15" t="s">
        <v>81</v>
      </c>
      <c r="N4" s="15" t="s">
        <v>82</v>
      </c>
      <c r="O4" s="15" t="s">
        <v>83</v>
      </c>
      <c r="P4" s="15" t="s">
        <v>84</v>
      </c>
      <c r="Q4" s="15" t="s">
        <v>85</v>
      </c>
      <c r="R4" s="15" t="s">
        <v>86</v>
      </c>
      <c r="S4" s="15" t="s">
        <v>87</v>
      </c>
      <c r="T4" s="15" t="s">
        <v>88</v>
      </c>
      <c r="U4" s="15" t="s">
        <v>89</v>
      </c>
      <c r="V4" s="15" t="s">
        <v>90</v>
      </c>
      <c r="W4" s="15" t="s">
        <v>91</v>
      </c>
    </row>
    <row r="5" customFormat="false" ht="15" hidden="false" customHeight="false" outlineLevel="0" collapsed="false">
      <c r="A5" s="16" t="n">
        <v>1</v>
      </c>
      <c r="B5" s="17" t="n">
        <v>46327</v>
      </c>
      <c r="C5" s="17" t="n">
        <v>46333</v>
      </c>
      <c r="D5" s="11" t="n">
        <f aca="false">IFERROR(AVERAGEIFS('Чек-лист — Бектур'!$AB$5:$AB$67,'Чек-лист — Бектур'!$B$5:$B$67,$A5),"")</f>
        <v>0.954545454545455</v>
      </c>
      <c r="E5" s="18" t="n">
        <f aca="false">SUMPRODUCT(('Чек-лист — Бектур'!$B$5:$B$67=$A5)*('Чек-лист — Бектур'!$D$5:$H$67="✅"))</f>
        <v>5</v>
      </c>
      <c r="F5" s="18" t="n">
        <f aca="false">SUMIFS('Чек-лист — Бектур'!$Z$5:$Z$67,'Чек-лист — Бектур'!$B$5:$B$67,$A5)</f>
        <v>3</v>
      </c>
      <c r="G5" s="18" t="n">
        <f aca="false">SUMIFS('Чек-лист — Бектур'!$AA$5:$AA$67,'Чек-лист — Бектур'!$B$5:$B$67,$A5)</f>
        <v>25</v>
      </c>
      <c r="H5" s="11" t="str">
        <f aca="false">IFERROR(AVERAGEIFS('Чек-лист — Юзер 1'!$AB$5:$AB$67,'Чек-лист — Юзер 1'!$B$5:$B$67,$A5),"")</f>
        <v/>
      </c>
      <c r="I5" s="18" t="n">
        <f aca="false">SUMPRODUCT(('Чек-лист — Юзер 1'!$B$5:$B$67=$A5)*('Чек-лист — Юзер 1'!$D$5:$H$67="✅"))</f>
        <v>0</v>
      </c>
      <c r="J5" s="18" t="n">
        <f aca="false">SUMIFS('Чек-лист — Юзер 1'!$Z$5:$Z$67,'Чек-лист — Юзер 1'!$B$5:$B$67,$A5)</f>
        <v>0</v>
      </c>
      <c r="K5" s="18" t="n">
        <f aca="false">SUMIFS('Чек-лист — Юзер 1'!$AA$5:$AA$67,'Чек-лист — Юзер 1'!$B$5:$B$67,$A5)</f>
        <v>0</v>
      </c>
      <c r="L5" s="11" t="str">
        <f aca="false">IFERROR(AVERAGEIFS('Чек-лист — Юзер 2'!$AB$5:$AB$67,'Чек-лист — Юзер 2'!$B$5:$B$67,$A5),"")</f>
        <v/>
      </c>
      <c r="M5" s="18" t="n">
        <f aca="false">SUMPRODUCT(('Чек-лист — Юзер 2'!$B$5:$B$67=$A5)*('Чек-лист — Юзер 2'!$D$5:$H$67="✅"))</f>
        <v>0</v>
      </c>
      <c r="N5" s="18" t="n">
        <f aca="false">SUMIFS('Чек-лист — Юзер 2'!$Z$5:$Z$67,'Чек-лист — Юзер 2'!$B$5:$B$67,$A5)</f>
        <v>0</v>
      </c>
      <c r="O5" s="18" t="n">
        <f aca="false">SUMIFS('Чек-лист — Юзер 2'!$AA$5:$AA$67,'Чек-лист — Юзер 2'!$B$5:$B$67,$A5)</f>
        <v>0</v>
      </c>
      <c r="P5" s="11" t="str">
        <f aca="false">IFERROR(AVERAGEIFS('Чек-лист — Юзер 3'!$AB$5:$AB$67,'Чек-лист — Юзер 3'!$B$5:$B$67,$A5),"")</f>
        <v/>
      </c>
      <c r="Q5" s="18" t="n">
        <f aca="false">SUMPRODUCT(('Чек-лист — Юзер 3'!$B$5:$B$67=$A5)*('Чек-лист — Юзер 3'!$D$5:$H$67="✅"))</f>
        <v>0</v>
      </c>
      <c r="R5" s="18" t="n">
        <f aca="false">SUMIFS('Чек-лист — Юзер 3'!$Z$5:$Z$67,'Чек-лист — Юзер 3'!$B$5:$B$67,$A5)</f>
        <v>0</v>
      </c>
      <c r="S5" s="18" t="n">
        <f aca="false">SUMIFS('Чек-лист — Юзер 3'!$AA$5:$AA$67,'Чек-лист — Юзер 3'!$B$5:$B$67,$A5)</f>
        <v>0</v>
      </c>
      <c r="T5" s="11" t="str">
        <f aca="false">IFERROR(AVERAGEIFS('Чек-лист — Юзер 4'!$AB$5:$AB$67,'Чек-лист — Юзер 4'!$B$5:$B$67,$A5),"")</f>
        <v/>
      </c>
      <c r="U5" s="18" t="n">
        <f aca="false">SUMPRODUCT(('Чек-лист — Юзер 4'!$B$5:$B$67=$A5)*('Чек-лист — Юзер 4'!$D$5:$H$67="✅"))</f>
        <v>0</v>
      </c>
      <c r="V5" s="18" t="n">
        <f aca="false">SUMIFS('Чек-лист — Юзер 4'!$Z$5:$Z$67,'Чек-лист — Юзер 4'!$B$5:$B$67,$A5)</f>
        <v>0</v>
      </c>
      <c r="W5" s="18" t="n">
        <f aca="false">SUMIFS('Чек-лист — Юзер 4'!$AA$5:$AA$67,'Чек-лист — Юзер 4'!$B$5:$B$67,$A5)</f>
        <v>0</v>
      </c>
    </row>
    <row r="6" customFormat="false" ht="15" hidden="false" customHeight="false" outlineLevel="0" collapsed="false">
      <c r="A6" s="16" t="n">
        <v>2</v>
      </c>
      <c r="B6" s="17" t="n">
        <v>46334</v>
      </c>
      <c r="C6" s="17" t="n">
        <v>46340</v>
      </c>
      <c r="D6" s="11" t="str">
        <f aca="false">IFERROR(AVERAGEIFS('Чек-лист — Бектур'!$AB$5:$AB$67,'Чек-лист — Бектур'!$B$5:$B$67,$A6),"")</f>
        <v/>
      </c>
      <c r="E6" s="18" t="n">
        <f aca="false">SUMPRODUCT(('Чек-лист — Бектур'!$B$5:$B$67=$A6)*('Чек-лист — Бектур'!$D$5:$H$67="✅"))</f>
        <v>0</v>
      </c>
      <c r="F6" s="18" t="n">
        <f aca="false">SUMIFS('Чек-лист — Бектур'!$Z$5:$Z$67,'Чек-лист — Бектур'!$B$5:$B$67,$A6)</f>
        <v>0</v>
      </c>
      <c r="G6" s="18" t="n">
        <f aca="false">SUMIFS('Чек-лист — Бектур'!$AA$5:$AA$67,'Чек-лист — Бектур'!$B$5:$B$67,$A6)</f>
        <v>0</v>
      </c>
      <c r="H6" s="11" t="str">
        <f aca="false">IFERROR(AVERAGEIFS('Чек-лист — Юзер 1'!$AB$5:$AB$67,'Чек-лист — Юзер 1'!$B$5:$B$67,$A6),"")</f>
        <v/>
      </c>
      <c r="I6" s="18" t="n">
        <f aca="false">SUMPRODUCT(('Чек-лист — Юзер 1'!$B$5:$B$67=$A6)*('Чек-лист — Юзер 1'!$D$5:$H$67="✅"))</f>
        <v>0</v>
      </c>
      <c r="J6" s="18" t="n">
        <f aca="false">SUMIFS('Чек-лист — Юзер 1'!$Z$5:$Z$67,'Чек-лист — Юзер 1'!$B$5:$B$67,$A6)</f>
        <v>0</v>
      </c>
      <c r="K6" s="18" t="n">
        <f aca="false">SUMIFS('Чек-лист — Юзер 1'!$AA$5:$AA$67,'Чек-лист — Юзер 1'!$B$5:$B$67,$A6)</f>
        <v>0</v>
      </c>
      <c r="L6" s="11" t="str">
        <f aca="false">IFERROR(AVERAGEIFS('Чек-лист — Юзер 2'!$AB$5:$AB$67,'Чек-лист — Юзер 2'!$B$5:$B$67,$A6),"")</f>
        <v/>
      </c>
      <c r="M6" s="18" t="n">
        <f aca="false">SUMPRODUCT(('Чек-лист — Юзер 2'!$B$5:$B$67=$A6)*('Чек-лист — Юзер 2'!$D$5:$H$67="✅"))</f>
        <v>0</v>
      </c>
      <c r="N6" s="18" t="n">
        <f aca="false">SUMIFS('Чек-лист — Юзер 2'!$Z$5:$Z$67,'Чек-лист — Юзер 2'!$B$5:$B$67,$A6)</f>
        <v>0</v>
      </c>
      <c r="O6" s="18" t="n">
        <f aca="false">SUMIFS('Чек-лист — Юзер 2'!$AA$5:$AA$67,'Чек-лист — Юзер 2'!$B$5:$B$67,$A6)</f>
        <v>0</v>
      </c>
      <c r="P6" s="11" t="str">
        <f aca="false">IFERROR(AVERAGEIFS('Чек-лист — Юзер 3'!$AB$5:$AB$67,'Чек-лист — Юзер 3'!$B$5:$B$67,$A6),"")</f>
        <v/>
      </c>
      <c r="Q6" s="18" t="n">
        <f aca="false">SUMPRODUCT(('Чек-лист — Юзер 3'!$B$5:$B$67=$A6)*('Чек-лист — Юзер 3'!$D$5:$H$67="✅"))</f>
        <v>0</v>
      </c>
      <c r="R6" s="18" t="n">
        <f aca="false">SUMIFS('Чек-лист — Юзер 3'!$Z$5:$Z$67,'Чек-лист — Юзер 3'!$B$5:$B$67,$A6)</f>
        <v>0</v>
      </c>
      <c r="S6" s="18" t="n">
        <f aca="false">SUMIFS('Чек-лист — Юзер 3'!$AA$5:$AA$67,'Чек-лист — Юзер 3'!$B$5:$B$67,$A6)</f>
        <v>0</v>
      </c>
      <c r="T6" s="11" t="str">
        <f aca="false">IFERROR(AVERAGEIFS('Чек-лист — Юзер 4'!$AB$5:$AB$67,'Чек-лист — Юзер 4'!$B$5:$B$67,$A6),"")</f>
        <v/>
      </c>
      <c r="U6" s="18" t="n">
        <f aca="false">SUMPRODUCT(('Чек-лист — Юзер 4'!$B$5:$B$67=$A6)*('Чек-лист — Юзер 4'!$D$5:$H$67="✅"))</f>
        <v>0</v>
      </c>
      <c r="V6" s="18" t="n">
        <f aca="false">SUMIFS('Чек-лист — Юзер 4'!$Z$5:$Z$67,'Чек-лист — Юзер 4'!$B$5:$B$67,$A6)</f>
        <v>0</v>
      </c>
      <c r="W6" s="18" t="n">
        <f aca="false">SUMIFS('Чек-лист — Юзер 4'!$AA$5:$AA$67,'Чек-лист — Юзер 4'!$B$5:$B$67,$A6)</f>
        <v>0</v>
      </c>
    </row>
    <row r="7" customFormat="false" ht="15" hidden="false" customHeight="false" outlineLevel="0" collapsed="false">
      <c r="A7" s="16" t="n">
        <v>3</v>
      </c>
      <c r="B7" s="17" t="n">
        <v>46341</v>
      </c>
      <c r="C7" s="17" t="n">
        <v>46347</v>
      </c>
      <c r="D7" s="11" t="str">
        <f aca="false">IFERROR(AVERAGEIFS('Чек-лист — Бектур'!$AB$5:$AB$67,'Чек-лист — Бектур'!$B$5:$B$67,$A7),"")</f>
        <v/>
      </c>
      <c r="E7" s="18" t="n">
        <f aca="false">SUMPRODUCT(('Чек-лист — Бектур'!$B$5:$B$67=$A7)*('Чек-лист — Бектур'!$D$5:$H$67="✅"))</f>
        <v>0</v>
      </c>
      <c r="F7" s="18" t="n">
        <f aca="false">SUMIFS('Чек-лист — Бектур'!$Z$5:$Z$67,'Чек-лист — Бектур'!$B$5:$B$67,$A7)</f>
        <v>0</v>
      </c>
      <c r="G7" s="18" t="n">
        <f aca="false">SUMIFS('Чек-лист — Бектур'!$AA$5:$AA$67,'Чек-лист — Бектур'!$B$5:$B$67,$A7)</f>
        <v>0</v>
      </c>
      <c r="H7" s="11" t="str">
        <f aca="false">IFERROR(AVERAGEIFS('Чек-лист — Юзер 1'!$AB$5:$AB$67,'Чек-лист — Юзер 1'!$B$5:$B$67,$A7),"")</f>
        <v/>
      </c>
      <c r="I7" s="18" t="n">
        <f aca="false">SUMPRODUCT(('Чек-лист — Юзер 1'!$B$5:$B$67=$A7)*('Чек-лист — Юзер 1'!$D$5:$H$67="✅"))</f>
        <v>0</v>
      </c>
      <c r="J7" s="18" t="n">
        <f aca="false">SUMIFS('Чек-лист — Юзер 1'!$Z$5:$Z$67,'Чек-лист — Юзер 1'!$B$5:$B$67,$A7)</f>
        <v>0</v>
      </c>
      <c r="K7" s="18" t="n">
        <f aca="false">SUMIFS('Чек-лист — Юзер 1'!$AA$5:$AA$67,'Чек-лист — Юзер 1'!$B$5:$B$67,$A7)</f>
        <v>0</v>
      </c>
      <c r="L7" s="11" t="str">
        <f aca="false">IFERROR(AVERAGEIFS('Чек-лист — Юзер 2'!$AB$5:$AB$67,'Чек-лист — Юзер 2'!$B$5:$B$67,$A7),"")</f>
        <v/>
      </c>
      <c r="M7" s="18" t="n">
        <f aca="false">SUMPRODUCT(('Чек-лист — Юзер 2'!$B$5:$B$67=$A7)*('Чек-лист — Юзер 2'!$D$5:$H$67="✅"))</f>
        <v>0</v>
      </c>
      <c r="N7" s="18" t="n">
        <f aca="false">SUMIFS('Чек-лист — Юзер 2'!$Z$5:$Z$67,'Чек-лист — Юзер 2'!$B$5:$B$67,$A7)</f>
        <v>0</v>
      </c>
      <c r="O7" s="18" t="n">
        <f aca="false">SUMIFS('Чек-лист — Юзер 2'!$AA$5:$AA$67,'Чек-лист — Юзер 2'!$B$5:$B$67,$A7)</f>
        <v>0</v>
      </c>
      <c r="P7" s="11" t="str">
        <f aca="false">IFERROR(AVERAGEIFS('Чек-лист — Юзер 3'!$AB$5:$AB$67,'Чек-лист — Юзер 3'!$B$5:$B$67,$A7),"")</f>
        <v/>
      </c>
      <c r="Q7" s="18" t="n">
        <f aca="false">SUMPRODUCT(('Чек-лист — Юзер 3'!$B$5:$B$67=$A7)*('Чек-лист — Юзер 3'!$D$5:$H$67="✅"))</f>
        <v>0</v>
      </c>
      <c r="R7" s="18" t="n">
        <f aca="false">SUMIFS('Чек-лист — Юзер 3'!$Z$5:$Z$67,'Чек-лист — Юзер 3'!$B$5:$B$67,$A7)</f>
        <v>0</v>
      </c>
      <c r="S7" s="18" t="n">
        <f aca="false">SUMIFS('Чек-лист — Юзер 3'!$AA$5:$AA$67,'Чек-лист — Юзер 3'!$B$5:$B$67,$A7)</f>
        <v>0</v>
      </c>
      <c r="T7" s="11" t="str">
        <f aca="false">IFERROR(AVERAGEIFS('Чек-лист — Юзер 4'!$AB$5:$AB$67,'Чек-лист — Юзер 4'!$B$5:$B$67,$A7),"")</f>
        <v/>
      </c>
      <c r="U7" s="18" t="n">
        <f aca="false">SUMPRODUCT(('Чек-лист — Юзер 4'!$B$5:$B$67=$A7)*('Чек-лист — Юзер 4'!$D$5:$H$67="✅"))</f>
        <v>0</v>
      </c>
      <c r="V7" s="18" t="n">
        <f aca="false">SUMIFS('Чек-лист — Юзер 4'!$Z$5:$Z$67,'Чек-лист — Юзер 4'!$B$5:$B$67,$A7)</f>
        <v>0</v>
      </c>
      <c r="W7" s="18" t="n">
        <f aca="false">SUMIFS('Чек-лист — Юзер 4'!$AA$5:$AA$67,'Чек-лист — Юзер 4'!$B$5:$B$67,$A7)</f>
        <v>0</v>
      </c>
    </row>
    <row r="8" customFormat="false" ht="15" hidden="false" customHeight="false" outlineLevel="0" collapsed="false">
      <c r="A8" s="16" t="n">
        <v>4</v>
      </c>
      <c r="B8" s="17" t="n">
        <v>46348</v>
      </c>
      <c r="C8" s="17" t="n">
        <v>46354</v>
      </c>
      <c r="D8" s="11" t="str">
        <f aca="false">IFERROR(AVERAGEIFS('Чек-лист — Бектур'!$AB$5:$AB$67,'Чек-лист — Бектур'!$B$5:$B$67,$A8),"")</f>
        <v/>
      </c>
      <c r="E8" s="18" t="n">
        <f aca="false">SUMPRODUCT(('Чек-лист — Бектур'!$B$5:$B$67=$A8)*('Чек-лист — Бектур'!$D$5:$H$67="✅"))</f>
        <v>0</v>
      </c>
      <c r="F8" s="18" t="n">
        <f aca="false">SUMIFS('Чек-лист — Бектур'!$Z$5:$Z$67,'Чек-лист — Бектур'!$B$5:$B$67,$A8)</f>
        <v>0</v>
      </c>
      <c r="G8" s="18" t="n">
        <f aca="false">SUMIFS('Чек-лист — Бектур'!$AA$5:$AA$67,'Чек-лист — Бектур'!$B$5:$B$67,$A8)</f>
        <v>0</v>
      </c>
      <c r="H8" s="11" t="str">
        <f aca="false">IFERROR(AVERAGEIFS('Чек-лист — Юзер 1'!$AB$5:$AB$67,'Чек-лист — Юзер 1'!$B$5:$B$67,$A8),"")</f>
        <v/>
      </c>
      <c r="I8" s="18" t="n">
        <f aca="false">SUMPRODUCT(('Чек-лист — Юзер 1'!$B$5:$B$67=$A8)*('Чек-лист — Юзер 1'!$D$5:$H$67="✅"))</f>
        <v>0</v>
      </c>
      <c r="J8" s="18" t="n">
        <f aca="false">SUMIFS('Чек-лист — Юзер 1'!$Z$5:$Z$67,'Чек-лист — Юзер 1'!$B$5:$B$67,$A8)</f>
        <v>0</v>
      </c>
      <c r="K8" s="18" t="n">
        <f aca="false">SUMIFS('Чек-лист — Юзер 1'!$AA$5:$AA$67,'Чек-лист — Юзер 1'!$B$5:$B$67,$A8)</f>
        <v>0</v>
      </c>
      <c r="L8" s="11" t="str">
        <f aca="false">IFERROR(AVERAGEIFS('Чек-лист — Юзер 2'!$AB$5:$AB$67,'Чек-лист — Юзер 2'!$B$5:$B$67,$A8),"")</f>
        <v/>
      </c>
      <c r="M8" s="18" t="n">
        <f aca="false">SUMPRODUCT(('Чек-лист — Юзер 2'!$B$5:$B$67=$A8)*('Чек-лист — Юзер 2'!$D$5:$H$67="✅"))</f>
        <v>0</v>
      </c>
      <c r="N8" s="18" t="n">
        <f aca="false">SUMIFS('Чек-лист — Юзер 2'!$Z$5:$Z$67,'Чек-лист — Юзер 2'!$B$5:$B$67,$A8)</f>
        <v>0</v>
      </c>
      <c r="O8" s="18" t="n">
        <f aca="false">SUMIFS('Чек-лист — Юзер 2'!$AA$5:$AA$67,'Чек-лист — Юзер 2'!$B$5:$B$67,$A8)</f>
        <v>0</v>
      </c>
      <c r="P8" s="11" t="str">
        <f aca="false">IFERROR(AVERAGEIFS('Чек-лист — Юзер 3'!$AB$5:$AB$67,'Чек-лист — Юзер 3'!$B$5:$B$67,$A8),"")</f>
        <v/>
      </c>
      <c r="Q8" s="18" t="n">
        <f aca="false">SUMPRODUCT(('Чек-лист — Юзер 3'!$B$5:$B$67=$A8)*('Чек-лист — Юзер 3'!$D$5:$H$67="✅"))</f>
        <v>0</v>
      </c>
      <c r="R8" s="18" t="n">
        <f aca="false">SUMIFS('Чек-лист — Юзер 3'!$Z$5:$Z$67,'Чек-лист — Юзер 3'!$B$5:$B$67,$A8)</f>
        <v>0</v>
      </c>
      <c r="S8" s="18" t="n">
        <f aca="false">SUMIFS('Чек-лист — Юзер 3'!$AA$5:$AA$67,'Чек-лист — Юзер 3'!$B$5:$B$67,$A8)</f>
        <v>0</v>
      </c>
      <c r="T8" s="11" t="str">
        <f aca="false">IFERROR(AVERAGEIFS('Чек-лист — Юзер 4'!$AB$5:$AB$67,'Чек-лист — Юзер 4'!$B$5:$B$67,$A8),"")</f>
        <v/>
      </c>
      <c r="U8" s="18" t="n">
        <f aca="false">SUMPRODUCT(('Чек-лист — Юзер 4'!$B$5:$B$67=$A8)*('Чек-лист — Юзер 4'!$D$5:$H$67="✅"))</f>
        <v>0</v>
      </c>
      <c r="V8" s="18" t="n">
        <f aca="false">SUMIFS('Чек-лист — Юзер 4'!$Z$5:$Z$67,'Чек-лист — Юзер 4'!$B$5:$B$67,$A8)</f>
        <v>0</v>
      </c>
      <c r="W8" s="18" t="n">
        <f aca="false">SUMIFS('Чек-лист — Юзер 4'!$AA$5:$AA$67,'Чек-лист — Юзер 4'!$B$5:$B$67,$A8)</f>
        <v>0</v>
      </c>
    </row>
    <row r="9" customFormat="false" ht="15" hidden="false" customHeight="false" outlineLevel="0" collapsed="false">
      <c r="A9" s="16" t="n">
        <v>5</v>
      </c>
      <c r="B9" s="17" t="n">
        <v>46355</v>
      </c>
      <c r="C9" s="17" t="n">
        <v>46361</v>
      </c>
      <c r="D9" s="11" t="str">
        <f aca="false">IFERROR(AVERAGEIFS('Чек-лист — Бектур'!$AB$5:$AB$67,'Чек-лист — Бектур'!$B$5:$B$67,$A9),"")</f>
        <v/>
      </c>
      <c r="E9" s="18" t="n">
        <f aca="false">SUMPRODUCT(('Чек-лист — Бектур'!$B$5:$B$67=$A9)*('Чек-лист — Бектур'!$D$5:$H$67="✅"))</f>
        <v>0</v>
      </c>
      <c r="F9" s="18" t="n">
        <f aca="false">SUMIFS('Чек-лист — Бектур'!$Z$5:$Z$67,'Чек-лист — Бектур'!$B$5:$B$67,$A9)</f>
        <v>0</v>
      </c>
      <c r="G9" s="18" t="n">
        <f aca="false">SUMIFS('Чек-лист — Бектур'!$AA$5:$AA$67,'Чек-лист — Бектур'!$B$5:$B$67,$A9)</f>
        <v>0</v>
      </c>
      <c r="H9" s="11" t="str">
        <f aca="false">IFERROR(AVERAGEIFS('Чек-лист — Юзер 1'!$AB$5:$AB$67,'Чек-лист — Юзер 1'!$B$5:$B$67,$A9),"")</f>
        <v/>
      </c>
      <c r="I9" s="18" t="n">
        <f aca="false">SUMPRODUCT(('Чек-лист — Юзер 1'!$B$5:$B$67=$A9)*('Чек-лист — Юзер 1'!$D$5:$H$67="✅"))</f>
        <v>0</v>
      </c>
      <c r="J9" s="18" t="n">
        <f aca="false">SUMIFS('Чек-лист — Юзер 1'!$Z$5:$Z$67,'Чек-лист — Юзер 1'!$B$5:$B$67,$A9)</f>
        <v>0</v>
      </c>
      <c r="K9" s="18" t="n">
        <f aca="false">SUMIFS('Чек-лист — Юзер 1'!$AA$5:$AA$67,'Чек-лист — Юзер 1'!$B$5:$B$67,$A9)</f>
        <v>0</v>
      </c>
      <c r="L9" s="11" t="str">
        <f aca="false">IFERROR(AVERAGEIFS('Чек-лист — Юзер 2'!$AB$5:$AB$67,'Чек-лист — Юзер 2'!$B$5:$B$67,$A9),"")</f>
        <v/>
      </c>
      <c r="M9" s="18" t="n">
        <f aca="false">SUMPRODUCT(('Чек-лист — Юзер 2'!$B$5:$B$67=$A9)*('Чек-лист — Юзер 2'!$D$5:$H$67="✅"))</f>
        <v>0</v>
      </c>
      <c r="N9" s="18" t="n">
        <f aca="false">SUMIFS('Чек-лист — Юзер 2'!$Z$5:$Z$67,'Чек-лист — Юзер 2'!$B$5:$B$67,$A9)</f>
        <v>0</v>
      </c>
      <c r="O9" s="18" t="n">
        <f aca="false">SUMIFS('Чек-лист — Юзер 2'!$AA$5:$AA$67,'Чек-лист — Юзер 2'!$B$5:$B$67,$A9)</f>
        <v>0</v>
      </c>
      <c r="P9" s="11" t="str">
        <f aca="false">IFERROR(AVERAGEIFS('Чек-лист — Юзер 3'!$AB$5:$AB$67,'Чек-лист — Юзер 3'!$B$5:$B$67,$A9),"")</f>
        <v/>
      </c>
      <c r="Q9" s="18" t="n">
        <f aca="false">SUMPRODUCT(('Чек-лист — Юзер 3'!$B$5:$B$67=$A9)*('Чек-лист — Юзер 3'!$D$5:$H$67="✅"))</f>
        <v>0</v>
      </c>
      <c r="R9" s="18" t="n">
        <f aca="false">SUMIFS('Чек-лист — Юзер 3'!$Z$5:$Z$67,'Чек-лист — Юзер 3'!$B$5:$B$67,$A9)</f>
        <v>0</v>
      </c>
      <c r="S9" s="18" t="n">
        <f aca="false">SUMIFS('Чек-лист — Юзер 3'!$AA$5:$AA$67,'Чек-лист — Юзер 3'!$B$5:$B$67,$A9)</f>
        <v>0</v>
      </c>
      <c r="T9" s="11" t="str">
        <f aca="false">IFERROR(AVERAGEIFS('Чек-лист — Юзер 4'!$AB$5:$AB$67,'Чек-лист — Юзер 4'!$B$5:$B$67,$A9),"")</f>
        <v/>
      </c>
      <c r="U9" s="18" t="n">
        <f aca="false">SUMPRODUCT(('Чек-лист — Юзер 4'!$B$5:$B$67=$A9)*('Чек-лист — Юзер 4'!$D$5:$H$67="✅"))</f>
        <v>0</v>
      </c>
      <c r="V9" s="18" t="n">
        <f aca="false">SUMIFS('Чек-лист — Юзер 4'!$Z$5:$Z$67,'Чек-лист — Юзер 4'!$B$5:$B$67,$A9)</f>
        <v>0</v>
      </c>
      <c r="W9" s="18" t="n">
        <f aca="false">SUMIFS('Чек-лист — Юзер 4'!$AA$5:$AA$67,'Чек-лист — Юзер 4'!$B$5:$B$67,$A9)</f>
        <v>0</v>
      </c>
    </row>
    <row r="10" customFormat="false" ht="15" hidden="false" customHeight="false" outlineLevel="0" collapsed="false">
      <c r="A10" s="16" t="n">
        <v>6</v>
      </c>
      <c r="B10" s="17" t="n">
        <v>46362</v>
      </c>
      <c r="C10" s="17" t="n">
        <v>46368</v>
      </c>
      <c r="D10" s="11" t="str">
        <f aca="false">IFERROR(AVERAGEIFS('Чек-лист — Бектур'!$AB$5:$AB$67,'Чек-лист — Бектур'!$B$5:$B$67,$A10),"")</f>
        <v/>
      </c>
      <c r="E10" s="18" t="n">
        <f aca="false">SUMPRODUCT(('Чек-лист — Бектур'!$B$5:$B$67=$A10)*('Чек-лист — Бектур'!$D$5:$H$67="✅"))</f>
        <v>0</v>
      </c>
      <c r="F10" s="18" t="n">
        <f aca="false">SUMIFS('Чек-лист — Бектур'!$Z$5:$Z$67,'Чек-лист — Бектур'!$B$5:$B$67,$A10)</f>
        <v>0</v>
      </c>
      <c r="G10" s="18" t="n">
        <f aca="false">SUMIFS('Чек-лист — Бектур'!$AA$5:$AA$67,'Чек-лист — Бектур'!$B$5:$B$67,$A10)</f>
        <v>0</v>
      </c>
      <c r="H10" s="11" t="str">
        <f aca="false">IFERROR(AVERAGEIFS('Чек-лист — Юзер 1'!$AB$5:$AB$67,'Чек-лист — Юзер 1'!$B$5:$B$67,$A10),"")</f>
        <v/>
      </c>
      <c r="I10" s="18" t="n">
        <f aca="false">SUMPRODUCT(('Чек-лист — Юзер 1'!$B$5:$B$67=$A10)*('Чек-лист — Юзер 1'!$D$5:$H$67="✅"))</f>
        <v>0</v>
      </c>
      <c r="J10" s="18" t="n">
        <f aca="false">SUMIFS('Чек-лист — Юзер 1'!$Z$5:$Z$67,'Чек-лист — Юзер 1'!$B$5:$B$67,$A10)</f>
        <v>0</v>
      </c>
      <c r="K10" s="18" t="n">
        <f aca="false">SUMIFS('Чек-лист — Юзер 1'!$AA$5:$AA$67,'Чек-лист — Юзер 1'!$B$5:$B$67,$A10)</f>
        <v>0</v>
      </c>
      <c r="L10" s="11" t="str">
        <f aca="false">IFERROR(AVERAGEIFS('Чек-лист — Юзер 2'!$AB$5:$AB$67,'Чек-лист — Юзер 2'!$B$5:$B$67,$A10),"")</f>
        <v/>
      </c>
      <c r="M10" s="18" t="n">
        <f aca="false">SUMPRODUCT(('Чек-лист — Юзер 2'!$B$5:$B$67=$A10)*('Чек-лист — Юзер 2'!$D$5:$H$67="✅"))</f>
        <v>0</v>
      </c>
      <c r="N10" s="18" t="n">
        <f aca="false">SUMIFS('Чек-лист — Юзер 2'!$Z$5:$Z$67,'Чек-лист — Юзер 2'!$B$5:$B$67,$A10)</f>
        <v>0</v>
      </c>
      <c r="O10" s="18" t="n">
        <f aca="false">SUMIFS('Чек-лист — Юзер 2'!$AA$5:$AA$67,'Чек-лист — Юзер 2'!$B$5:$B$67,$A10)</f>
        <v>0</v>
      </c>
      <c r="P10" s="11" t="str">
        <f aca="false">IFERROR(AVERAGEIFS('Чек-лист — Юзер 3'!$AB$5:$AB$67,'Чек-лист — Юзер 3'!$B$5:$B$67,$A10),"")</f>
        <v/>
      </c>
      <c r="Q10" s="18" t="n">
        <f aca="false">SUMPRODUCT(('Чек-лист — Юзер 3'!$B$5:$B$67=$A10)*('Чек-лист — Юзер 3'!$D$5:$H$67="✅"))</f>
        <v>0</v>
      </c>
      <c r="R10" s="18" t="n">
        <f aca="false">SUMIFS('Чек-лист — Юзер 3'!$Z$5:$Z$67,'Чек-лист — Юзер 3'!$B$5:$B$67,$A10)</f>
        <v>0</v>
      </c>
      <c r="S10" s="18" t="n">
        <f aca="false">SUMIFS('Чек-лист — Юзер 3'!$AA$5:$AA$67,'Чек-лист — Юзер 3'!$B$5:$B$67,$A10)</f>
        <v>0</v>
      </c>
      <c r="T10" s="11" t="str">
        <f aca="false">IFERROR(AVERAGEIFS('Чек-лист — Юзер 4'!$AB$5:$AB$67,'Чек-лист — Юзер 4'!$B$5:$B$67,$A10),"")</f>
        <v/>
      </c>
      <c r="U10" s="18" t="n">
        <f aca="false">SUMPRODUCT(('Чек-лист — Юзер 4'!$B$5:$B$67=$A10)*('Чек-лист — Юзер 4'!$D$5:$H$67="✅"))</f>
        <v>0</v>
      </c>
      <c r="V10" s="18" t="n">
        <f aca="false">SUMIFS('Чек-лист — Юзер 4'!$Z$5:$Z$67,'Чек-лист — Юзер 4'!$B$5:$B$67,$A10)</f>
        <v>0</v>
      </c>
      <c r="W10" s="18" t="n">
        <f aca="false">SUMIFS('Чек-лист — Юзер 4'!$AA$5:$AA$67,'Чек-лист — Юзер 4'!$B$5:$B$67,$A10)</f>
        <v>0</v>
      </c>
    </row>
    <row r="11" customFormat="false" ht="15" hidden="false" customHeight="false" outlineLevel="0" collapsed="false">
      <c r="A11" s="16" t="n">
        <v>7</v>
      </c>
      <c r="B11" s="17" t="n">
        <v>46369</v>
      </c>
      <c r="C11" s="17" t="n">
        <v>46375</v>
      </c>
      <c r="D11" s="11" t="str">
        <f aca="false">IFERROR(AVERAGEIFS('Чек-лист — Бектур'!$AB$5:$AB$67,'Чек-лист — Бектур'!$B$5:$B$67,$A11),"")</f>
        <v/>
      </c>
      <c r="E11" s="18" t="n">
        <f aca="false">SUMPRODUCT(('Чек-лист — Бектур'!$B$5:$B$67=$A11)*('Чек-лист — Бектур'!$D$5:$H$67="✅"))</f>
        <v>0</v>
      </c>
      <c r="F11" s="18" t="n">
        <f aca="false">SUMIFS('Чек-лист — Бектур'!$Z$5:$Z$67,'Чек-лист — Бектур'!$B$5:$B$67,$A11)</f>
        <v>0</v>
      </c>
      <c r="G11" s="18" t="n">
        <f aca="false">SUMIFS('Чек-лист — Бектур'!$AA$5:$AA$67,'Чек-лист — Бектур'!$B$5:$B$67,$A11)</f>
        <v>0</v>
      </c>
      <c r="H11" s="11" t="str">
        <f aca="false">IFERROR(AVERAGEIFS('Чек-лист — Юзер 1'!$AB$5:$AB$67,'Чек-лист — Юзер 1'!$B$5:$B$67,$A11),"")</f>
        <v/>
      </c>
      <c r="I11" s="18" t="n">
        <f aca="false">SUMPRODUCT(('Чек-лист — Юзер 1'!$B$5:$B$67=$A11)*('Чек-лист — Юзер 1'!$D$5:$H$67="✅"))</f>
        <v>0</v>
      </c>
      <c r="J11" s="18" t="n">
        <f aca="false">SUMIFS('Чек-лист — Юзер 1'!$Z$5:$Z$67,'Чек-лист — Юзер 1'!$B$5:$B$67,$A11)</f>
        <v>0</v>
      </c>
      <c r="K11" s="18" t="n">
        <f aca="false">SUMIFS('Чек-лист — Юзер 1'!$AA$5:$AA$67,'Чек-лист — Юзер 1'!$B$5:$B$67,$A11)</f>
        <v>0</v>
      </c>
      <c r="L11" s="11" t="str">
        <f aca="false">IFERROR(AVERAGEIFS('Чек-лист — Юзер 2'!$AB$5:$AB$67,'Чек-лист — Юзер 2'!$B$5:$B$67,$A11),"")</f>
        <v/>
      </c>
      <c r="M11" s="18" t="n">
        <f aca="false">SUMPRODUCT(('Чек-лист — Юзер 2'!$B$5:$B$67=$A11)*('Чек-лист — Юзер 2'!$D$5:$H$67="✅"))</f>
        <v>0</v>
      </c>
      <c r="N11" s="18" t="n">
        <f aca="false">SUMIFS('Чек-лист — Юзер 2'!$Z$5:$Z$67,'Чек-лист — Юзер 2'!$B$5:$B$67,$A11)</f>
        <v>0</v>
      </c>
      <c r="O11" s="18" t="n">
        <f aca="false">SUMIFS('Чек-лист — Юзер 2'!$AA$5:$AA$67,'Чек-лист — Юзер 2'!$B$5:$B$67,$A11)</f>
        <v>0</v>
      </c>
      <c r="P11" s="11" t="str">
        <f aca="false">IFERROR(AVERAGEIFS('Чек-лист — Юзер 3'!$AB$5:$AB$67,'Чек-лист — Юзер 3'!$B$5:$B$67,$A11),"")</f>
        <v/>
      </c>
      <c r="Q11" s="18" t="n">
        <f aca="false">SUMPRODUCT(('Чек-лист — Юзер 3'!$B$5:$B$67=$A11)*('Чек-лист — Юзер 3'!$D$5:$H$67="✅"))</f>
        <v>0</v>
      </c>
      <c r="R11" s="18" t="n">
        <f aca="false">SUMIFS('Чек-лист — Юзер 3'!$Z$5:$Z$67,'Чек-лист — Юзер 3'!$B$5:$B$67,$A11)</f>
        <v>0</v>
      </c>
      <c r="S11" s="18" t="n">
        <f aca="false">SUMIFS('Чек-лист — Юзер 3'!$AA$5:$AA$67,'Чек-лист — Юзер 3'!$B$5:$B$67,$A11)</f>
        <v>0</v>
      </c>
      <c r="T11" s="11" t="str">
        <f aca="false">IFERROR(AVERAGEIFS('Чек-лист — Юзер 4'!$AB$5:$AB$67,'Чек-лист — Юзер 4'!$B$5:$B$67,$A11),"")</f>
        <v/>
      </c>
      <c r="U11" s="18" t="n">
        <f aca="false">SUMPRODUCT(('Чек-лист — Юзер 4'!$B$5:$B$67=$A11)*('Чек-лист — Юзер 4'!$D$5:$H$67="✅"))</f>
        <v>0</v>
      </c>
      <c r="V11" s="18" t="n">
        <f aca="false">SUMIFS('Чек-лист — Юзер 4'!$Z$5:$Z$67,'Чек-лист — Юзер 4'!$B$5:$B$67,$A11)</f>
        <v>0</v>
      </c>
      <c r="W11" s="18" t="n">
        <f aca="false">SUMIFS('Чек-лист — Юзер 4'!$AA$5:$AA$67,'Чек-лист — Юзер 4'!$B$5:$B$67,$A11)</f>
        <v>0</v>
      </c>
    </row>
    <row r="12" customFormat="false" ht="15" hidden="false" customHeight="false" outlineLevel="0" collapsed="false">
      <c r="A12" s="16" t="n">
        <v>8</v>
      </c>
      <c r="B12" s="17" t="n">
        <v>46376</v>
      </c>
      <c r="C12" s="17" t="n">
        <v>46382</v>
      </c>
      <c r="D12" s="11" t="str">
        <f aca="false">IFERROR(AVERAGEIFS('Чек-лист — Бектур'!$AB$5:$AB$67,'Чек-лист — Бектур'!$B$5:$B$67,$A12),"")</f>
        <v/>
      </c>
      <c r="E12" s="18" t="n">
        <f aca="false">SUMPRODUCT(('Чек-лист — Бектур'!$B$5:$B$67=$A12)*('Чек-лист — Бектур'!$D$5:$H$67="✅"))</f>
        <v>0</v>
      </c>
      <c r="F12" s="18" t="n">
        <f aca="false">SUMIFS('Чек-лист — Бектур'!$Z$5:$Z$67,'Чек-лист — Бектур'!$B$5:$B$67,$A12)</f>
        <v>0</v>
      </c>
      <c r="G12" s="18" t="n">
        <f aca="false">SUMIFS('Чек-лист — Бектур'!$AA$5:$AA$67,'Чек-лист — Бектур'!$B$5:$B$67,$A12)</f>
        <v>0</v>
      </c>
      <c r="H12" s="11" t="str">
        <f aca="false">IFERROR(AVERAGEIFS('Чек-лист — Юзер 1'!$AB$5:$AB$67,'Чек-лист — Юзер 1'!$B$5:$B$67,$A12),"")</f>
        <v/>
      </c>
      <c r="I12" s="18" t="n">
        <f aca="false">SUMPRODUCT(('Чек-лист — Юзер 1'!$B$5:$B$67=$A12)*('Чек-лист — Юзер 1'!$D$5:$H$67="✅"))</f>
        <v>0</v>
      </c>
      <c r="J12" s="18" t="n">
        <f aca="false">SUMIFS('Чек-лист — Юзер 1'!$Z$5:$Z$67,'Чек-лист — Юзер 1'!$B$5:$B$67,$A12)</f>
        <v>0</v>
      </c>
      <c r="K12" s="18" t="n">
        <f aca="false">SUMIFS('Чек-лист — Юзер 1'!$AA$5:$AA$67,'Чек-лист — Юзер 1'!$B$5:$B$67,$A12)</f>
        <v>0</v>
      </c>
      <c r="L12" s="11" t="str">
        <f aca="false">IFERROR(AVERAGEIFS('Чек-лист — Юзер 2'!$AB$5:$AB$67,'Чек-лист — Юзер 2'!$B$5:$B$67,$A12),"")</f>
        <v/>
      </c>
      <c r="M12" s="18" t="n">
        <f aca="false">SUMPRODUCT(('Чек-лист — Юзер 2'!$B$5:$B$67=$A12)*('Чек-лист — Юзер 2'!$D$5:$H$67="✅"))</f>
        <v>0</v>
      </c>
      <c r="N12" s="18" t="n">
        <f aca="false">SUMIFS('Чек-лист — Юзер 2'!$Z$5:$Z$67,'Чек-лист — Юзер 2'!$B$5:$B$67,$A12)</f>
        <v>0</v>
      </c>
      <c r="O12" s="18" t="n">
        <f aca="false">SUMIFS('Чек-лист — Юзер 2'!$AA$5:$AA$67,'Чек-лист — Юзер 2'!$B$5:$B$67,$A12)</f>
        <v>0</v>
      </c>
      <c r="P12" s="11" t="str">
        <f aca="false">IFERROR(AVERAGEIFS('Чек-лист — Юзер 3'!$AB$5:$AB$67,'Чек-лист — Юзер 3'!$B$5:$B$67,$A12),"")</f>
        <v/>
      </c>
      <c r="Q12" s="18" t="n">
        <f aca="false">SUMPRODUCT(('Чек-лист — Юзер 3'!$B$5:$B$67=$A12)*('Чек-лист — Юзер 3'!$D$5:$H$67="✅"))</f>
        <v>0</v>
      </c>
      <c r="R12" s="18" t="n">
        <f aca="false">SUMIFS('Чек-лист — Юзер 3'!$Z$5:$Z$67,'Чек-лист — Юзер 3'!$B$5:$B$67,$A12)</f>
        <v>0</v>
      </c>
      <c r="S12" s="18" t="n">
        <f aca="false">SUMIFS('Чек-лист — Юзер 3'!$AA$5:$AA$67,'Чек-лист — Юзер 3'!$B$5:$B$67,$A12)</f>
        <v>0</v>
      </c>
      <c r="T12" s="11" t="str">
        <f aca="false">IFERROR(AVERAGEIFS('Чек-лист — Юзер 4'!$AB$5:$AB$67,'Чек-лист — Юзер 4'!$B$5:$B$67,$A12),"")</f>
        <v/>
      </c>
      <c r="U12" s="18" t="n">
        <f aca="false">SUMPRODUCT(('Чек-лист — Юзер 4'!$B$5:$B$67=$A12)*('Чек-лист — Юзер 4'!$D$5:$H$67="✅"))</f>
        <v>0</v>
      </c>
      <c r="V12" s="18" t="n">
        <f aca="false">SUMIFS('Чек-лист — Юзер 4'!$Z$5:$Z$67,'Чек-лист — Юзер 4'!$B$5:$B$67,$A12)</f>
        <v>0</v>
      </c>
      <c r="W12" s="18" t="n">
        <f aca="false">SUMIFS('Чек-лист — Юзер 4'!$AA$5:$AA$67,'Чек-лист — Юзер 4'!$B$5:$B$67,$A12)</f>
        <v>0</v>
      </c>
    </row>
    <row r="13" customFormat="false" ht="15" hidden="false" customHeight="false" outlineLevel="0" collapsed="false">
      <c r="A13" s="16" t="n">
        <v>9</v>
      </c>
      <c r="B13" s="17" t="n">
        <v>46383</v>
      </c>
      <c r="C13" s="17" t="n">
        <v>46389</v>
      </c>
      <c r="D13" s="11" t="str">
        <f aca="false">IFERROR(AVERAGEIFS('Чек-лист — Бектур'!$AB$5:$AB$67,'Чек-лист — Бектур'!$B$5:$B$67,$A13),"")</f>
        <v/>
      </c>
      <c r="E13" s="18" t="n">
        <f aca="false">SUMPRODUCT(('Чек-лист — Бектур'!$B$5:$B$67=$A13)*('Чек-лист — Бектур'!$D$5:$H$67="✅"))</f>
        <v>0</v>
      </c>
      <c r="F13" s="18" t="n">
        <f aca="false">SUMIFS('Чек-лист — Бектур'!$Z$5:$Z$67,'Чек-лист — Бектур'!$B$5:$B$67,$A13)</f>
        <v>0</v>
      </c>
      <c r="G13" s="18" t="n">
        <f aca="false">SUMIFS('Чек-лист — Бектур'!$AA$5:$AA$67,'Чек-лист — Бектур'!$B$5:$B$67,$A13)</f>
        <v>0</v>
      </c>
      <c r="H13" s="11" t="str">
        <f aca="false">IFERROR(AVERAGEIFS('Чек-лист — Юзер 1'!$AB$5:$AB$67,'Чек-лист — Юзер 1'!$B$5:$B$67,$A13),"")</f>
        <v/>
      </c>
      <c r="I13" s="18" t="n">
        <f aca="false">SUMPRODUCT(('Чек-лист — Юзер 1'!$B$5:$B$67=$A13)*('Чек-лист — Юзер 1'!$D$5:$H$67="✅"))</f>
        <v>0</v>
      </c>
      <c r="J13" s="18" t="n">
        <f aca="false">SUMIFS('Чек-лист — Юзер 1'!$Z$5:$Z$67,'Чек-лист — Юзер 1'!$B$5:$B$67,$A13)</f>
        <v>0</v>
      </c>
      <c r="K13" s="18" t="n">
        <f aca="false">SUMIFS('Чек-лист — Юзер 1'!$AA$5:$AA$67,'Чек-лист — Юзер 1'!$B$5:$B$67,$A13)</f>
        <v>0</v>
      </c>
      <c r="L13" s="11" t="str">
        <f aca="false">IFERROR(AVERAGEIFS('Чек-лист — Юзер 2'!$AB$5:$AB$67,'Чек-лист — Юзер 2'!$B$5:$B$67,$A13),"")</f>
        <v/>
      </c>
      <c r="M13" s="18" t="n">
        <f aca="false">SUMPRODUCT(('Чек-лист — Юзер 2'!$B$5:$B$67=$A13)*('Чек-лист — Юзер 2'!$D$5:$H$67="✅"))</f>
        <v>0</v>
      </c>
      <c r="N13" s="18" t="n">
        <f aca="false">SUMIFS('Чек-лист — Юзер 2'!$Z$5:$Z$67,'Чек-лист — Юзер 2'!$B$5:$B$67,$A13)</f>
        <v>0</v>
      </c>
      <c r="O13" s="18" t="n">
        <f aca="false">SUMIFS('Чек-лист — Юзер 2'!$AA$5:$AA$67,'Чек-лист — Юзер 2'!$B$5:$B$67,$A13)</f>
        <v>0</v>
      </c>
      <c r="P13" s="11" t="str">
        <f aca="false">IFERROR(AVERAGEIFS('Чек-лист — Юзер 3'!$AB$5:$AB$67,'Чек-лист — Юзер 3'!$B$5:$B$67,$A13),"")</f>
        <v/>
      </c>
      <c r="Q13" s="18" t="n">
        <f aca="false">SUMPRODUCT(('Чек-лист — Юзер 3'!$B$5:$B$67=$A13)*('Чек-лист — Юзер 3'!$D$5:$H$67="✅"))</f>
        <v>0</v>
      </c>
      <c r="R13" s="18" t="n">
        <f aca="false">SUMIFS('Чек-лист — Юзер 3'!$Z$5:$Z$67,'Чек-лист — Юзер 3'!$B$5:$B$67,$A13)</f>
        <v>0</v>
      </c>
      <c r="S13" s="18" t="n">
        <f aca="false">SUMIFS('Чек-лист — Юзер 3'!$AA$5:$AA$67,'Чек-лист — Юзер 3'!$B$5:$B$67,$A13)</f>
        <v>0</v>
      </c>
      <c r="T13" s="11" t="str">
        <f aca="false">IFERROR(AVERAGEIFS('Чек-лист — Юзер 4'!$AB$5:$AB$67,'Чек-лист — Юзер 4'!$B$5:$B$67,$A13),"")</f>
        <v/>
      </c>
      <c r="U13" s="18" t="n">
        <f aca="false">SUMPRODUCT(('Чек-лист — Юзер 4'!$B$5:$B$67=$A13)*('Чек-лист — Юзер 4'!$D$5:$H$67="✅"))</f>
        <v>0</v>
      </c>
      <c r="V13" s="18" t="n">
        <f aca="false">SUMIFS('Чек-лист — Юзер 4'!$Z$5:$Z$67,'Чек-лист — Юзер 4'!$B$5:$B$67,$A13)</f>
        <v>0</v>
      </c>
      <c r="W13" s="18" t="n">
        <f aca="false">SUMIFS('Чек-лист — Юзер 4'!$AA$5:$AA$67,'Чек-лист — Юзер 4'!$B$5:$B$67,$A13)</f>
        <v>0</v>
      </c>
    </row>
  </sheetData>
  <mergeCells count="2">
    <mergeCell ref="A1:W1"/>
    <mergeCell ref="A2:W2"/>
  </mergeCells>
  <conditionalFormatting sqref="D5:W13">
    <cfRule type="colorScale" priority="2">
      <colorScale>
        <cfvo type="min" val="0"/>
        <cfvo type="max" val="0"/>
        <color rgb="FFFFFFFF"/>
        <color rgb="FFA9D8B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8" min="4" style="0" width="32"/>
    <col collapsed="false" customWidth="true" hidden="false" outlineLevel="0" max="9" min="9" style="0" width="30"/>
    <col collapsed="false" customWidth="true" hidden="false" outlineLevel="0" max="11" min="10" style="0" width="32"/>
    <col collapsed="false" customWidth="true" hidden="false" outlineLevel="0" max="12" min="12" style="0" width="10"/>
  </cols>
  <sheetData>
    <row r="1" customFormat="false" ht="27.75" hidden="false" customHeight="true" outlineLevel="0" collapsed="false">
      <c r="A1" s="5" t="s">
        <v>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5" hidden="false" customHeight="false" outlineLevel="0" collapsed="false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42" hidden="false" customHeight="true" outlineLevel="0" collapsed="false">
      <c r="A4" s="15" t="s">
        <v>94</v>
      </c>
      <c r="B4" s="15" t="s">
        <v>95</v>
      </c>
      <c r="C4" s="15" t="s">
        <v>96</v>
      </c>
      <c r="D4" s="15" t="s">
        <v>97</v>
      </c>
      <c r="E4" s="15" t="s">
        <v>98</v>
      </c>
      <c r="F4" s="15" t="s">
        <v>99</v>
      </c>
      <c r="G4" s="15" t="s">
        <v>100</v>
      </c>
      <c r="H4" s="15" t="s">
        <v>101</v>
      </c>
      <c r="I4" s="15" t="s">
        <v>102</v>
      </c>
      <c r="J4" s="15" t="s">
        <v>103</v>
      </c>
      <c r="K4" s="15" t="s">
        <v>104</v>
      </c>
      <c r="L4" s="15" t="s">
        <v>105</v>
      </c>
    </row>
    <row r="5" customFormat="false" ht="60" hidden="false" customHeight="true" outlineLevel="0" collapsed="false">
      <c r="A5" s="16" t="n">
        <v>1</v>
      </c>
      <c r="B5" s="19" t="n">
        <v>46327</v>
      </c>
      <c r="C5" s="16" t="s">
        <v>106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60" hidden="false" customHeight="true" outlineLevel="0" collapsed="false">
      <c r="A6" s="16" t="n">
        <v>2</v>
      </c>
      <c r="B6" s="19" t="n">
        <v>46334</v>
      </c>
      <c r="C6" s="16" t="s">
        <v>107</v>
      </c>
      <c r="D6" s="12"/>
      <c r="E6" s="12"/>
      <c r="F6" s="12"/>
      <c r="G6" s="12"/>
      <c r="H6" s="12"/>
      <c r="I6" s="12"/>
      <c r="J6" s="12"/>
      <c r="K6" s="12"/>
      <c r="L6" s="12"/>
    </row>
    <row r="7" customFormat="false" ht="60" hidden="false" customHeight="true" outlineLevel="0" collapsed="false">
      <c r="A7" s="16" t="n">
        <v>3</v>
      </c>
      <c r="B7" s="19" t="n">
        <v>46341</v>
      </c>
      <c r="C7" s="16" t="s">
        <v>108</v>
      </c>
      <c r="D7" s="12"/>
      <c r="E7" s="12"/>
      <c r="F7" s="12"/>
      <c r="G7" s="12"/>
      <c r="H7" s="12"/>
      <c r="I7" s="12"/>
      <c r="J7" s="12"/>
      <c r="K7" s="12"/>
      <c r="L7" s="12"/>
    </row>
    <row r="8" customFormat="false" ht="60" hidden="false" customHeight="true" outlineLevel="0" collapsed="false">
      <c r="A8" s="16" t="n">
        <v>4</v>
      </c>
      <c r="B8" s="19" t="n">
        <v>46348</v>
      </c>
      <c r="C8" s="16" t="s">
        <v>109</v>
      </c>
      <c r="D8" s="12"/>
      <c r="E8" s="12"/>
      <c r="F8" s="12"/>
      <c r="G8" s="12"/>
      <c r="H8" s="12"/>
      <c r="I8" s="12"/>
      <c r="J8" s="12"/>
      <c r="K8" s="12"/>
      <c r="L8" s="12"/>
    </row>
    <row r="9" customFormat="false" ht="60" hidden="false" customHeight="true" outlineLevel="0" collapsed="false">
      <c r="A9" s="16" t="n">
        <v>5</v>
      </c>
      <c r="B9" s="19" t="n">
        <v>46355</v>
      </c>
      <c r="C9" s="16" t="s">
        <v>110</v>
      </c>
      <c r="D9" s="12"/>
      <c r="E9" s="12"/>
      <c r="F9" s="12"/>
      <c r="G9" s="12"/>
      <c r="H9" s="12"/>
      <c r="I9" s="12"/>
      <c r="J9" s="12"/>
      <c r="K9" s="12"/>
      <c r="L9" s="12"/>
    </row>
    <row r="10" customFormat="false" ht="60" hidden="false" customHeight="true" outlineLevel="0" collapsed="false">
      <c r="A10" s="16" t="n">
        <v>6</v>
      </c>
      <c r="B10" s="19" t="n">
        <v>46362</v>
      </c>
      <c r="C10" s="16" t="s">
        <v>111</v>
      </c>
      <c r="D10" s="12"/>
      <c r="E10" s="12"/>
      <c r="F10" s="12"/>
      <c r="G10" s="12"/>
      <c r="H10" s="12"/>
      <c r="I10" s="12"/>
      <c r="J10" s="12"/>
      <c r="K10" s="12"/>
      <c r="L10" s="12"/>
    </row>
    <row r="11" customFormat="false" ht="60" hidden="false" customHeight="true" outlineLevel="0" collapsed="false">
      <c r="A11" s="16" t="n">
        <v>7</v>
      </c>
      <c r="B11" s="19" t="n">
        <v>46369</v>
      </c>
      <c r="C11" s="16" t="s">
        <v>112</v>
      </c>
      <c r="D11" s="12"/>
      <c r="E11" s="12"/>
      <c r="F11" s="12"/>
      <c r="G11" s="12"/>
      <c r="H11" s="12"/>
      <c r="I11" s="12"/>
      <c r="J11" s="12"/>
      <c r="K11" s="12"/>
      <c r="L11" s="12"/>
    </row>
    <row r="12" customFormat="false" ht="60" hidden="false" customHeight="true" outlineLevel="0" collapsed="false">
      <c r="A12" s="16" t="n">
        <v>8</v>
      </c>
      <c r="B12" s="19" t="n">
        <v>46376</v>
      </c>
      <c r="C12" s="16" t="s">
        <v>106</v>
      </c>
      <c r="D12" s="12"/>
      <c r="E12" s="12"/>
      <c r="F12" s="12"/>
      <c r="G12" s="12"/>
      <c r="H12" s="12"/>
      <c r="I12" s="12"/>
      <c r="J12" s="12"/>
      <c r="K12" s="12"/>
      <c r="L12" s="12"/>
    </row>
    <row r="13" customFormat="false" ht="60" hidden="false" customHeight="true" outlineLevel="0" collapsed="false">
      <c r="A13" s="16" t="n">
        <v>9</v>
      </c>
      <c r="B13" s="19" t="n">
        <v>46383</v>
      </c>
      <c r="C13" s="16" t="s">
        <v>107</v>
      </c>
      <c r="D13" s="12"/>
      <c r="E13" s="12"/>
      <c r="F13" s="12"/>
      <c r="G13" s="12"/>
      <c r="H13" s="12"/>
      <c r="I13" s="12"/>
      <c r="J13" s="12"/>
      <c r="K13" s="12"/>
      <c r="L13" s="12"/>
    </row>
  </sheetData>
  <mergeCells count="2">
    <mergeCell ref="A1:L1"/>
    <mergeCell ref="A2:L2"/>
  </mergeCells>
  <dataValidations count="1">
    <dataValidation allowBlank="true" errorStyle="stop" operator="between" showDropDown="false" showErrorMessage="false" showInputMessage="false" sqref="L5:L13" type="list">
      <formula1>"✅,❌"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44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34"/>
    <col collapsed="false" customWidth="true" hidden="false" outlineLevel="0" max="10" min="10" style="0" width="9"/>
  </cols>
  <sheetData>
    <row r="1" customFormat="false" ht="27.75" hidden="false" customHeight="true" outlineLevel="0" collapsed="false">
      <c r="A1" s="5" t="s">
        <v>113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6" t="s">
        <v>114</v>
      </c>
      <c r="B2" s="6"/>
      <c r="C2" s="6"/>
      <c r="D2" s="6"/>
      <c r="E2" s="6"/>
      <c r="F2" s="6"/>
      <c r="G2" s="6"/>
      <c r="H2" s="6"/>
      <c r="I2" s="6"/>
      <c r="J2" s="6"/>
    </row>
    <row r="4" customFormat="false" ht="42" hidden="false" customHeight="true" outlineLevel="0" collapsed="false">
      <c r="A4" s="15" t="s">
        <v>21</v>
      </c>
      <c r="B4" s="15" t="s">
        <v>115</v>
      </c>
      <c r="C4" s="15" t="s">
        <v>116</v>
      </c>
      <c r="D4" s="15" t="s">
        <v>117</v>
      </c>
      <c r="E4" s="15" t="s">
        <v>118</v>
      </c>
      <c r="F4" s="15" t="s">
        <v>119</v>
      </c>
      <c r="G4" s="15" t="s">
        <v>120</v>
      </c>
      <c r="H4" s="15" t="s">
        <v>121</v>
      </c>
      <c r="I4" s="15" t="s">
        <v>122</v>
      </c>
      <c r="J4" s="15" t="s">
        <v>123</v>
      </c>
    </row>
    <row r="5" customFormat="false" ht="45" hidden="false" customHeight="true" outlineLevel="0" collapsed="false">
      <c r="A5" s="20" t="n">
        <v>46325</v>
      </c>
      <c r="B5" s="12" t="s">
        <v>124</v>
      </c>
      <c r="C5" s="12" t="s">
        <v>125</v>
      </c>
      <c r="D5" s="12" t="s">
        <v>126</v>
      </c>
      <c r="E5" s="20" t="n">
        <v>46325</v>
      </c>
      <c r="F5" s="12"/>
      <c r="G5" s="12"/>
      <c r="H5" s="12"/>
      <c r="I5" s="12"/>
      <c r="J5" s="12"/>
    </row>
    <row r="6" customFormat="false" ht="45" hidden="false" customHeight="true" outlineLevel="0" collapsed="false">
      <c r="A6" s="20" t="n">
        <v>46327</v>
      </c>
      <c r="B6" s="12" t="s">
        <v>127</v>
      </c>
      <c r="C6" s="12" t="s">
        <v>128</v>
      </c>
      <c r="D6" s="12" t="s">
        <v>129</v>
      </c>
      <c r="E6" s="20" t="n">
        <v>46329</v>
      </c>
      <c r="F6" s="12"/>
      <c r="G6" s="12"/>
      <c r="H6" s="12"/>
      <c r="I6" s="12"/>
      <c r="J6" s="12"/>
    </row>
    <row r="7" customFormat="false" ht="45" hidden="false" customHeight="true" outlineLevel="0" collapsed="false">
      <c r="A7" s="20" t="n">
        <v>46329</v>
      </c>
      <c r="B7" s="12" t="s">
        <v>127</v>
      </c>
      <c r="C7" s="12" t="s">
        <v>130</v>
      </c>
      <c r="D7" s="12" t="s">
        <v>131</v>
      </c>
      <c r="E7" s="20" t="n">
        <v>46331</v>
      </c>
      <c r="F7" s="12"/>
      <c r="G7" s="12"/>
      <c r="H7" s="12"/>
      <c r="I7" s="12"/>
      <c r="J7" s="12"/>
    </row>
    <row r="8" customFormat="false" ht="45" hidden="false" customHeight="true" outlineLevel="0" collapsed="false">
      <c r="A8" s="20" t="n">
        <v>46331</v>
      </c>
      <c r="B8" s="12" t="s">
        <v>127</v>
      </c>
      <c r="C8" s="12" t="s">
        <v>132</v>
      </c>
      <c r="D8" s="12" t="s">
        <v>133</v>
      </c>
      <c r="E8" s="20" t="n">
        <v>46333</v>
      </c>
      <c r="F8" s="12"/>
      <c r="G8" s="12"/>
      <c r="H8" s="12"/>
      <c r="I8" s="12"/>
      <c r="J8" s="12"/>
    </row>
    <row r="9" customFormat="false" ht="45" hidden="false" customHeight="true" outlineLevel="0" collapsed="false">
      <c r="A9" s="20" t="n">
        <v>46334</v>
      </c>
      <c r="B9" s="12" t="s">
        <v>127</v>
      </c>
      <c r="C9" s="12" t="s">
        <v>134</v>
      </c>
      <c r="D9" s="12" t="s">
        <v>135</v>
      </c>
      <c r="E9" s="20" t="n">
        <v>46334</v>
      </c>
      <c r="F9" s="12"/>
      <c r="G9" s="12"/>
      <c r="H9" s="12"/>
      <c r="I9" s="12"/>
      <c r="J9" s="12"/>
    </row>
    <row r="10" customFormat="false" ht="45" hidden="false" customHeight="true" outlineLevel="0" collapsed="false">
      <c r="A10" s="20" t="n">
        <v>46336</v>
      </c>
      <c r="B10" s="12" t="s">
        <v>127</v>
      </c>
      <c r="C10" s="12" t="s">
        <v>136</v>
      </c>
      <c r="D10" s="12" t="s">
        <v>137</v>
      </c>
      <c r="E10" s="20" t="n">
        <v>46338</v>
      </c>
      <c r="F10" s="12"/>
      <c r="G10" s="12"/>
      <c r="H10" s="12"/>
      <c r="I10" s="12"/>
      <c r="J10" s="12"/>
    </row>
    <row r="11" customFormat="false" ht="45" hidden="false" customHeight="true" outlineLevel="0" collapsed="false">
      <c r="A11" s="20" t="n">
        <v>46338</v>
      </c>
      <c r="B11" s="12" t="s">
        <v>127</v>
      </c>
      <c r="C11" s="12" t="s">
        <v>138</v>
      </c>
      <c r="D11" s="12" t="s">
        <v>139</v>
      </c>
      <c r="E11" s="20" t="n">
        <v>46340</v>
      </c>
      <c r="F11" s="12"/>
      <c r="G11" s="12"/>
      <c r="H11" s="12"/>
      <c r="I11" s="12"/>
      <c r="J11" s="12"/>
    </row>
    <row r="12" customFormat="false" ht="45" hidden="false" customHeight="true" outlineLevel="0" collapsed="false">
      <c r="A12" s="20" t="n">
        <v>46339</v>
      </c>
      <c r="B12" s="12" t="s">
        <v>127</v>
      </c>
      <c r="C12" s="12" t="s">
        <v>140</v>
      </c>
      <c r="D12" s="12" t="s">
        <v>141</v>
      </c>
      <c r="E12" s="20" t="n">
        <v>46340</v>
      </c>
      <c r="F12" s="12"/>
      <c r="G12" s="12"/>
      <c r="H12" s="12"/>
      <c r="I12" s="12"/>
      <c r="J12" s="12"/>
    </row>
    <row r="13" customFormat="false" ht="45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customFormat="false" ht="4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4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customFormat="false" ht="4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4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customFormat="false" ht="4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4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customFormat="false" ht="4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customFormat="false" ht="4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customFormat="false" ht="4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customFormat="false" ht="45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customFormat="false" ht="4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customFormat="false" ht="4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customFormat="false" ht="4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customFormat="false" ht="4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customFormat="false" ht="4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customFormat="false" ht="45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customFormat="false" ht="45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customFormat="false" ht="45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customFormat="false" ht="4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customFormat="false" ht="45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customFormat="false" ht="4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45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customFormat="false" ht="4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customFormat="false" ht="45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customFormat="false" ht="4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customFormat="false" ht="45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customFormat="false" ht="4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customFormat="false" ht="4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customFormat="false" ht="4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customFormat="false" ht="4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customFormat="false" ht="4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customFormat="false" ht="4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customFormat="false" ht="4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customFormat="false" ht="4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customFormat="false" ht="4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customFormat="false" ht="4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customFormat="false" ht="45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customFormat="false" ht="45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customFormat="false" ht="45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4" customFormat="false" ht="15" hidden="false" customHeight="false" outlineLevel="0" collapsed="false">
      <c r="A54" s="21" t="s">
        <v>142</v>
      </c>
      <c r="C54" s="0" t="str">
        <f aca="false">COUNTIF(H5:H52,"✅")&amp;" из "&amp;COUNTA(C5:C52)</f>
        <v>0 из 8</v>
      </c>
    </row>
    <row r="55" customFormat="false" ht="15" hidden="false" customHeight="false" outlineLevel="0" collapsed="false">
      <c r="A55" s="21" t="s">
        <v>143</v>
      </c>
      <c r="C55" s="0" t="str">
        <f aca="false">IFERROR(ROUND(AVERAGE(J5:J52),1),"—")</f>
        <v>—</v>
      </c>
    </row>
  </sheetData>
  <mergeCells count="2">
    <mergeCell ref="A1:J1"/>
    <mergeCell ref="A2:J2"/>
  </mergeCells>
  <conditionalFormatting sqref="H5:H52">
    <cfRule type="cellIs" priority="2" operator="equal" aboveAverage="0" equalAverage="0" bottom="0" percent="0" rank="0" text="" dxfId="0">
      <formula>"✅"</formula>
    </cfRule>
  </conditionalFormatting>
  <dataValidations count="3">
    <dataValidation allowBlank="true" errorStyle="stop" operator="between" showDropDown="false" showErrorMessage="false" showInputMessage="false" sqref="B5:B52" type="list">
      <formula1>"Бектур,Юзер 1,Юзер 2,Юзер 3,Юзер 4,Все"</formula1>
      <formula2>0</formula2>
    </dataValidation>
    <dataValidation allowBlank="true" errorStyle="stop" operator="between" showDropDown="false" showErrorMessage="false" showInputMessage="false" sqref="H5:H52" type="list">
      <formula1>"✅,❌"</formula1>
      <formula2>0</formula2>
    </dataValidation>
    <dataValidation allowBlank="true" errorStyle="stop" operator="between" showDropDown="false" showErrorMessage="false" showInputMessage="false" sqref="J5:J5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8"/>
    <col collapsed="false" customWidth="true" hidden="false" outlineLevel="0" max="5" min="5" style="0" width="3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5" t="s">
        <v>144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145</v>
      </c>
      <c r="B2" s="6"/>
      <c r="C2" s="6"/>
      <c r="D2" s="6"/>
      <c r="E2" s="6"/>
      <c r="F2" s="6"/>
    </row>
    <row r="4" customFormat="false" ht="42" hidden="false" customHeight="true" outlineLevel="0" collapsed="false">
      <c r="A4" s="7" t="s">
        <v>146</v>
      </c>
      <c r="B4" s="7" t="s">
        <v>118</v>
      </c>
      <c r="C4" s="7" t="s">
        <v>147</v>
      </c>
      <c r="D4" s="7" t="s">
        <v>148</v>
      </c>
      <c r="E4" s="7" t="s">
        <v>149</v>
      </c>
      <c r="F4" s="7" t="s">
        <v>150</v>
      </c>
    </row>
    <row r="5" customFormat="false" ht="23.85" hidden="false" customHeight="false" outlineLevel="0" collapsed="false">
      <c r="A5" s="22" t="s">
        <v>151</v>
      </c>
      <c r="B5" s="22" t="s">
        <v>152</v>
      </c>
      <c r="C5" s="23" t="s">
        <v>153</v>
      </c>
      <c r="D5" s="23" t="s">
        <v>154</v>
      </c>
      <c r="E5" s="23" t="s">
        <v>155</v>
      </c>
      <c r="F5" s="23" t="s">
        <v>156</v>
      </c>
    </row>
    <row r="6" customFormat="false" ht="15" hidden="false" customHeight="false" outlineLevel="0" collapsed="false">
      <c r="A6" s="22" t="s">
        <v>151</v>
      </c>
      <c r="B6" s="22" t="s">
        <v>152</v>
      </c>
      <c r="C6" s="12"/>
      <c r="D6" s="12"/>
      <c r="E6" s="12"/>
      <c r="F6" s="12"/>
    </row>
    <row r="7" customFormat="false" ht="15" hidden="false" customHeight="false" outlineLevel="0" collapsed="false">
      <c r="A7" s="22" t="s">
        <v>151</v>
      </c>
      <c r="B7" s="22" t="s">
        <v>152</v>
      </c>
      <c r="C7" s="12"/>
      <c r="D7" s="12"/>
      <c r="E7" s="12"/>
      <c r="F7" s="12"/>
    </row>
    <row r="8" customFormat="false" ht="15" hidden="false" customHeight="false" outlineLevel="0" collapsed="false">
      <c r="A8" s="22" t="s">
        <v>151</v>
      </c>
      <c r="B8" s="22" t="s">
        <v>157</v>
      </c>
      <c r="C8" s="12"/>
      <c r="D8" s="12"/>
      <c r="E8" s="12"/>
      <c r="F8" s="12"/>
    </row>
    <row r="9" customFormat="false" ht="15" hidden="false" customHeight="false" outlineLevel="0" collapsed="false">
      <c r="A9" s="22" t="s">
        <v>151</v>
      </c>
      <c r="B9" s="22" t="s">
        <v>157</v>
      </c>
      <c r="C9" s="12"/>
      <c r="D9" s="12"/>
      <c r="E9" s="12"/>
      <c r="F9" s="12"/>
    </row>
    <row r="10" customFormat="false" ht="15" hidden="false" customHeight="false" outlineLevel="0" collapsed="false">
      <c r="A10" s="22" t="s">
        <v>151</v>
      </c>
      <c r="B10" s="22" t="s">
        <v>157</v>
      </c>
      <c r="C10" s="12"/>
      <c r="D10" s="12"/>
      <c r="E10" s="12"/>
      <c r="F10" s="12"/>
    </row>
    <row r="11" customFormat="false" ht="15" hidden="false" customHeight="false" outlineLevel="0" collapsed="false">
      <c r="A11" s="22" t="s">
        <v>151</v>
      </c>
      <c r="B11" s="22" t="s">
        <v>157</v>
      </c>
      <c r="C11" s="12"/>
      <c r="D11" s="12"/>
      <c r="E11" s="12"/>
      <c r="F11" s="12"/>
    </row>
    <row r="12" customFormat="false" ht="15" hidden="false" customHeight="false" outlineLevel="0" collapsed="false">
      <c r="A12" s="22" t="s">
        <v>151</v>
      </c>
      <c r="B12" s="22" t="s">
        <v>157</v>
      </c>
      <c r="C12" s="12"/>
      <c r="D12" s="12"/>
      <c r="E12" s="12"/>
      <c r="F12" s="12"/>
    </row>
    <row r="13" customFormat="false" ht="15" hidden="false" customHeight="false" outlineLevel="0" collapsed="false">
      <c r="A13" s="22" t="s">
        <v>158</v>
      </c>
      <c r="B13" s="22" t="s">
        <v>152</v>
      </c>
      <c r="C13" s="12"/>
      <c r="D13" s="12"/>
      <c r="E13" s="12"/>
      <c r="F13" s="12"/>
    </row>
    <row r="14" customFormat="false" ht="15" hidden="false" customHeight="false" outlineLevel="0" collapsed="false">
      <c r="A14" s="22" t="s">
        <v>158</v>
      </c>
      <c r="B14" s="22" t="s">
        <v>152</v>
      </c>
      <c r="C14" s="12"/>
      <c r="D14" s="12"/>
      <c r="E14" s="12"/>
      <c r="F14" s="12"/>
    </row>
    <row r="15" customFormat="false" ht="15" hidden="false" customHeight="false" outlineLevel="0" collapsed="false">
      <c r="A15" s="22" t="s">
        <v>158</v>
      </c>
      <c r="B15" s="22" t="s">
        <v>152</v>
      </c>
      <c r="C15" s="12"/>
      <c r="D15" s="12"/>
      <c r="E15" s="12"/>
      <c r="F15" s="12"/>
    </row>
    <row r="16" customFormat="false" ht="15" hidden="false" customHeight="false" outlineLevel="0" collapsed="false">
      <c r="A16" s="22" t="s">
        <v>158</v>
      </c>
      <c r="B16" s="22" t="s">
        <v>157</v>
      </c>
      <c r="C16" s="12"/>
      <c r="D16" s="12"/>
      <c r="E16" s="12"/>
      <c r="F16" s="12"/>
    </row>
    <row r="17" customFormat="false" ht="15" hidden="false" customHeight="false" outlineLevel="0" collapsed="false">
      <c r="A17" s="22" t="s">
        <v>158</v>
      </c>
      <c r="B17" s="22" t="s">
        <v>157</v>
      </c>
      <c r="C17" s="12"/>
      <c r="D17" s="12"/>
      <c r="E17" s="12"/>
      <c r="F17" s="12"/>
    </row>
    <row r="18" customFormat="false" ht="15" hidden="false" customHeight="false" outlineLevel="0" collapsed="false">
      <c r="A18" s="22" t="s">
        <v>158</v>
      </c>
      <c r="B18" s="22" t="s">
        <v>157</v>
      </c>
      <c r="C18" s="12"/>
      <c r="D18" s="12"/>
      <c r="E18" s="12"/>
      <c r="F18" s="12"/>
    </row>
    <row r="19" customFormat="false" ht="15" hidden="false" customHeight="false" outlineLevel="0" collapsed="false">
      <c r="A19" s="22" t="s">
        <v>158</v>
      </c>
      <c r="B19" s="22" t="s">
        <v>157</v>
      </c>
      <c r="C19" s="12"/>
      <c r="D19" s="12"/>
      <c r="E19" s="12"/>
      <c r="F19" s="12"/>
    </row>
    <row r="20" customFormat="false" ht="15" hidden="false" customHeight="false" outlineLevel="0" collapsed="false">
      <c r="A20" s="22" t="s">
        <v>158</v>
      </c>
      <c r="B20" s="22" t="s">
        <v>157</v>
      </c>
      <c r="C20" s="12"/>
      <c r="D20" s="12"/>
      <c r="E20" s="12"/>
      <c r="F20" s="12"/>
    </row>
    <row r="21" customFormat="false" ht="15" hidden="false" customHeight="false" outlineLevel="0" collapsed="false">
      <c r="A21" s="22" t="s">
        <v>124</v>
      </c>
      <c r="B21" s="22" t="s">
        <v>152</v>
      </c>
      <c r="C21" s="12"/>
      <c r="D21" s="12"/>
      <c r="E21" s="12"/>
      <c r="F21" s="12"/>
    </row>
    <row r="22" customFormat="false" ht="15" hidden="false" customHeight="false" outlineLevel="0" collapsed="false">
      <c r="A22" s="22" t="s">
        <v>124</v>
      </c>
      <c r="B22" s="22" t="s">
        <v>152</v>
      </c>
      <c r="C22" s="12"/>
      <c r="D22" s="12"/>
      <c r="E22" s="12"/>
      <c r="F22" s="12"/>
    </row>
    <row r="23" customFormat="false" ht="15" hidden="false" customHeight="false" outlineLevel="0" collapsed="false">
      <c r="A23" s="22" t="s">
        <v>124</v>
      </c>
      <c r="B23" s="22" t="s">
        <v>152</v>
      </c>
      <c r="C23" s="12"/>
      <c r="D23" s="12"/>
      <c r="E23" s="12"/>
      <c r="F23" s="12"/>
    </row>
    <row r="24" customFormat="false" ht="15" hidden="false" customHeight="false" outlineLevel="0" collapsed="false">
      <c r="A24" s="22" t="s">
        <v>124</v>
      </c>
      <c r="B24" s="22" t="s">
        <v>157</v>
      </c>
      <c r="C24" s="12"/>
      <c r="D24" s="12"/>
      <c r="E24" s="12"/>
      <c r="F24" s="12"/>
    </row>
    <row r="25" customFormat="false" ht="15" hidden="false" customHeight="false" outlineLevel="0" collapsed="false">
      <c r="A25" s="22" t="s">
        <v>124</v>
      </c>
      <c r="B25" s="22" t="s">
        <v>157</v>
      </c>
      <c r="C25" s="12"/>
      <c r="D25" s="12"/>
      <c r="E25" s="12"/>
      <c r="F25" s="12"/>
    </row>
    <row r="26" customFormat="false" ht="15" hidden="false" customHeight="false" outlineLevel="0" collapsed="false">
      <c r="A26" s="22" t="s">
        <v>124</v>
      </c>
      <c r="B26" s="22" t="s">
        <v>157</v>
      </c>
      <c r="C26" s="12"/>
      <c r="D26" s="12"/>
      <c r="E26" s="12"/>
      <c r="F26" s="12"/>
    </row>
    <row r="27" customFormat="false" ht="15" hidden="false" customHeight="false" outlineLevel="0" collapsed="false">
      <c r="A27" s="22" t="s">
        <v>124</v>
      </c>
      <c r="B27" s="22" t="s">
        <v>157</v>
      </c>
      <c r="C27" s="12"/>
      <c r="D27" s="12"/>
      <c r="E27" s="12"/>
      <c r="F27" s="12"/>
    </row>
    <row r="28" customFormat="false" ht="15" hidden="false" customHeight="false" outlineLevel="0" collapsed="false">
      <c r="A28" s="22" t="s">
        <v>124</v>
      </c>
      <c r="B28" s="22" t="s">
        <v>157</v>
      </c>
      <c r="C28" s="12"/>
      <c r="D28" s="12"/>
      <c r="E28" s="12"/>
      <c r="F28" s="12"/>
    </row>
    <row r="29" customFormat="false" ht="15" hidden="false" customHeight="false" outlineLevel="0" collapsed="false">
      <c r="A29" s="22" t="s">
        <v>159</v>
      </c>
      <c r="B29" s="22" t="s">
        <v>152</v>
      </c>
      <c r="C29" s="12"/>
      <c r="D29" s="12"/>
      <c r="E29" s="12"/>
      <c r="F29" s="12"/>
    </row>
    <row r="30" customFormat="false" ht="15" hidden="false" customHeight="false" outlineLevel="0" collapsed="false">
      <c r="A30" s="22" t="s">
        <v>159</v>
      </c>
      <c r="B30" s="22" t="s">
        <v>152</v>
      </c>
      <c r="C30" s="12"/>
      <c r="D30" s="12"/>
      <c r="E30" s="12"/>
      <c r="F30" s="12"/>
    </row>
    <row r="31" customFormat="false" ht="15" hidden="false" customHeight="false" outlineLevel="0" collapsed="false">
      <c r="A31" s="22" t="s">
        <v>159</v>
      </c>
      <c r="B31" s="22" t="s">
        <v>152</v>
      </c>
      <c r="C31" s="12"/>
      <c r="D31" s="12"/>
      <c r="E31" s="12"/>
      <c r="F31" s="12"/>
    </row>
    <row r="32" customFormat="false" ht="15" hidden="false" customHeight="false" outlineLevel="0" collapsed="false">
      <c r="A32" s="22" t="s">
        <v>159</v>
      </c>
      <c r="B32" s="22" t="s">
        <v>157</v>
      </c>
      <c r="C32" s="12"/>
      <c r="D32" s="12"/>
      <c r="E32" s="12"/>
      <c r="F32" s="12"/>
    </row>
    <row r="33" customFormat="false" ht="15" hidden="false" customHeight="false" outlineLevel="0" collapsed="false">
      <c r="A33" s="22" t="s">
        <v>159</v>
      </c>
      <c r="B33" s="22" t="s">
        <v>157</v>
      </c>
      <c r="C33" s="12"/>
      <c r="D33" s="12"/>
      <c r="E33" s="12"/>
      <c r="F33" s="12"/>
    </row>
    <row r="34" customFormat="false" ht="15" hidden="false" customHeight="false" outlineLevel="0" collapsed="false">
      <c r="A34" s="22" t="s">
        <v>159</v>
      </c>
      <c r="B34" s="22" t="s">
        <v>157</v>
      </c>
      <c r="C34" s="12"/>
      <c r="D34" s="12"/>
      <c r="E34" s="12"/>
      <c r="F34" s="12"/>
    </row>
    <row r="35" customFormat="false" ht="15" hidden="false" customHeight="false" outlineLevel="0" collapsed="false">
      <c r="A35" s="22" t="s">
        <v>159</v>
      </c>
      <c r="B35" s="22" t="s">
        <v>157</v>
      </c>
      <c r="C35" s="12"/>
      <c r="D35" s="12"/>
      <c r="E35" s="12"/>
      <c r="F35" s="12"/>
    </row>
    <row r="36" customFormat="false" ht="15" hidden="false" customHeight="false" outlineLevel="0" collapsed="false">
      <c r="A36" s="22" t="s">
        <v>159</v>
      </c>
      <c r="B36" s="22" t="s">
        <v>157</v>
      </c>
      <c r="C36" s="12"/>
      <c r="D36" s="12"/>
      <c r="E36" s="12"/>
      <c r="F36" s="12"/>
    </row>
    <row r="37" customFormat="false" ht="15" hidden="false" customHeight="false" outlineLevel="0" collapsed="false">
      <c r="A37" s="22" t="s">
        <v>160</v>
      </c>
      <c r="B37" s="22" t="s">
        <v>152</v>
      </c>
      <c r="C37" s="12"/>
      <c r="D37" s="12"/>
      <c r="E37" s="12"/>
      <c r="F37" s="12"/>
    </row>
    <row r="38" customFormat="false" ht="15" hidden="false" customHeight="false" outlineLevel="0" collapsed="false">
      <c r="A38" s="22" t="s">
        <v>160</v>
      </c>
      <c r="B38" s="22" t="s">
        <v>152</v>
      </c>
      <c r="C38" s="12"/>
      <c r="D38" s="12"/>
      <c r="E38" s="12"/>
      <c r="F38" s="12"/>
    </row>
    <row r="39" customFormat="false" ht="15" hidden="false" customHeight="false" outlineLevel="0" collapsed="false">
      <c r="A39" s="22" t="s">
        <v>160</v>
      </c>
      <c r="B39" s="22" t="s">
        <v>152</v>
      </c>
      <c r="C39" s="12"/>
      <c r="D39" s="12"/>
      <c r="E39" s="12"/>
      <c r="F39" s="12"/>
    </row>
    <row r="40" customFormat="false" ht="15" hidden="false" customHeight="false" outlineLevel="0" collapsed="false">
      <c r="A40" s="22" t="s">
        <v>160</v>
      </c>
      <c r="B40" s="22" t="s">
        <v>157</v>
      </c>
      <c r="C40" s="12"/>
      <c r="D40" s="12"/>
      <c r="E40" s="12"/>
      <c r="F40" s="12"/>
    </row>
    <row r="41" customFormat="false" ht="15" hidden="false" customHeight="false" outlineLevel="0" collapsed="false">
      <c r="A41" s="22" t="s">
        <v>160</v>
      </c>
      <c r="B41" s="22" t="s">
        <v>157</v>
      </c>
      <c r="C41" s="12"/>
      <c r="D41" s="12"/>
      <c r="E41" s="12"/>
      <c r="F41" s="12"/>
    </row>
    <row r="42" customFormat="false" ht="15" hidden="false" customHeight="false" outlineLevel="0" collapsed="false">
      <c r="A42" s="22" t="s">
        <v>160</v>
      </c>
      <c r="B42" s="22" t="s">
        <v>157</v>
      </c>
      <c r="C42" s="12"/>
      <c r="D42" s="12"/>
      <c r="E42" s="12"/>
      <c r="F42" s="12"/>
    </row>
    <row r="43" customFormat="false" ht="15" hidden="false" customHeight="false" outlineLevel="0" collapsed="false">
      <c r="A43" s="22" t="s">
        <v>160</v>
      </c>
      <c r="B43" s="22" t="s">
        <v>157</v>
      </c>
      <c r="C43" s="12"/>
      <c r="D43" s="12"/>
      <c r="E43" s="12"/>
      <c r="F43" s="12"/>
    </row>
    <row r="44" customFormat="false" ht="15" hidden="false" customHeight="false" outlineLevel="0" collapsed="false">
      <c r="A44" s="22" t="s">
        <v>160</v>
      </c>
      <c r="B44" s="22" t="s">
        <v>157</v>
      </c>
      <c r="C44" s="12"/>
      <c r="D44" s="12"/>
      <c r="E44" s="12"/>
      <c r="F44" s="12"/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F5:F44" type="list">
      <formula1>"Не начато,В процессе,Готово ✅,Провал"</formula1>
      <formula2>0</formula2>
    </dataValidation>
    <dataValidation allowBlank="true" errorStyle="stop" operator="between" showDropDown="false" showErrorMessage="false" showInputMessage="false" sqref="C5:C44" type="list">
      <formula1>"Религия,Учёба,Тело,Развитие,Финансы,Характер,Проект"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10" min="6" style="0" width="12"/>
    <col collapsed="false" customWidth="true" hidden="false" outlineLevel="0" max="11" min="11" style="0" width="30"/>
  </cols>
  <sheetData>
    <row r="1" customFormat="false" ht="27.75" hidden="false" customHeight="true" outlineLevel="0" collapsed="false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162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customFormat="false" ht="42" hidden="false" customHeight="true" outlineLevel="0" collapsed="false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151</v>
      </c>
      <c r="G4" s="15" t="s">
        <v>158</v>
      </c>
      <c r="H4" s="15" t="s">
        <v>124</v>
      </c>
      <c r="I4" s="15" t="s">
        <v>159</v>
      </c>
      <c r="J4" s="15" t="s">
        <v>160</v>
      </c>
      <c r="K4" s="15" t="s">
        <v>168</v>
      </c>
    </row>
    <row r="5" customFormat="false" ht="23.85" hidden="false" customHeight="false" outlineLevel="0" collapsed="false">
      <c r="A5" s="24" t="s">
        <v>169</v>
      </c>
      <c r="B5" s="24" t="s">
        <v>170</v>
      </c>
      <c r="C5" s="24" t="s">
        <v>171</v>
      </c>
      <c r="D5" s="24" t="s">
        <v>172</v>
      </c>
      <c r="E5" s="24" t="s">
        <v>173</v>
      </c>
      <c r="F5" s="12"/>
      <c r="G5" s="12"/>
      <c r="H5" s="12"/>
      <c r="I5" s="12"/>
      <c r="J5" s="12"/>
      <c r="K5" s="12"/>
    </row>
    <row r="6" customFormat="false" ht="23.85" hidden="false" customHeight="false" outlineLevel="0" collapsed="false">
      <c r="A6" s="24" t="s">
        <v>169</v>
      </c>
      <c r="B6" s="24" t="s">
        <v>174</v>
      </c>
      <c r="C6" s="24" t="s">
        <v>171</v>
      </c>
      <c r="D6" s="24" t="s">
        <v>175</v>
      </c>
      <c r="E6" s="24" t="s">
        <v>173</v>
      </c>
      <c r="F6" s="12"/>
      <c r="G6" s="12"/>
      <c r="H6" s="12"/>
      <c r="I6" s="12"/>
      <c r="J6" s="12"/>
      <c r="K6" s="12"/>
    </row>
    <row r="7" customFormat="false" ht="15" hidden="false" customHeight="false" outlineLevel="0" collapsed="false">
      <c r="A7" s="24" t="s">
        <v>169</v>
      </c>
      <c r="B7" s="24" t="s">
        <v>176</v>
      </c>
      <c r="C7" s="24" t="s">
        <v>177</v>
      </c>
      <c r="D7" s="24" t="s">
        <v>178</v>
      </c>
      <c r="E7" s="24" t="s">
        <v>173</v>
      </c>
      <c r="F7" s="12"/>
      <c r="G7" s="12"/>
      <c r="H7" s="12"/>
      <c r="I7" s="12"/>
      <c r="J7" s="12"/>
      <c r="K7" s="12"/>
    </row>
    <row r="8" customFormat="false" ht="15" hidden="false" customHeight="false" outlineLevel="0" collapsed="false">
      <c r="A8" s="24" t="s">
        <v>169</v>
      </c>
      <c r="B8" s="24" t="s">
        <v>179</v>
      </c>
      <c r="C8" s="24" t="s">
        <v>177</v>
      </c>
      <c r="D8" s="24" t="s">
        <v>180</v>
      </c>
      <c r="E8" s="24" t="s">
        <v>173</v>
      </c>
      <c r="F8" s="12"/>
      <c r="G8" s="12"/>
      <c r="H8" s="12"/>
      <c r="I8" s="12"/>
      <c r="J8" s="12"/>
      <c r="K8" s="12"/>
    </row>
    <row r="9" customFormat="false" ht="15" hidden="false" customHeight="false" outlineLevel="0" collapsed="false">
      <c r="A9" s="24" t="s">
        <v>169</v>
      </c>
      <c r="B9" s="24" t="s">
        <v>181</v>
      </c>
      <c r="C9" s="24" t="s">
        <v>182</v>
      </c>
      <c r="D9" s="24" t="s">
        <v>183</v>
      </c>
      <c r="E9" s="24" t="s">
        <v>173</v>
      </c>
      <c r="F9" s="12"/>
      <c r="G9" s="12"/>
      <c r="H9" s="12"/>
      <c r="I9" s="12"/>
      <c r="J9" s="12"/>
      <c r="K9" s="12"/>
    </row>
    <row r="10" customFormat="false" ht="23.85" hidden="false" customHeight="false" outlineLevel="0" collapsed="false">
      <c r="A10" s="24" t="s">
        <v>184</v>
      </c>
      <c r="B10" s="24" t="s">
        <v>185</v>
      </c>
      <c r="C10" s="24" t="s">
        <v>129</v>
      </c>
      <c r="D10" s="24" t="s">
        <v>186</v>
      </c>
      <c r="E10" s="24" t="s">
        <v>173</v>
      </c>
      <c r="F10" s="12"/>
      <c r="G10" s="12"/>
      <c r="H10" s="12"/>
      <c r="I10" s="12"/>
      <c r="J10" s="12"/>
      <c r="K10" s="12"/>
    </row>
    <row r="11" customFormat="false" ht="15" hidden="false" customHeight="false" outlineLevel="0" collapsed="false">
      <c r="A11" s="24" t="s">
        <v>184</v>
      </c>
      <c r="B11" s="24" t="s">
        <v>187</v>
      </c>
      <c r="C11" s="24" t="s">
        <v>188</v>
      </c>
      <c r="D11" s="24" t="s">
        <v>189</v>
      </c>
      <c r="E11" s="24" t="s">
        <v>173</v>
      </c>
      <c r="F11" s="12"/>
      <c r="G11" s="12"/>
      <c r="H11" s="12"/>
      <c r="I11" s="12"/>
      <c r="J11" s="12"/>
      <c r="K11" s="12"/>
    </row>
    <row r="12" customFormat="false" ht="15" hidden="false" customHeight="false" outlineLevel="0" collapsed="false">
      <c r="A12" s="24" t="s">
        <v>184</v>
      </c>
      <c r="B12" s="24" t="s">
        <v>190</v>
      </c>
      <c r="C12" s="24" t="s">
        <v>191</v>
      </c>
      <c r="D12" s="24" t="s">
        <v>192</v>
      </c>
      <c r="E12" s="24" t="s">
        <v>173</v>
      </c>
      <c r="F12" s="12"/>
      <c r="G12" s="12"/>
      <c r="H12" s="12"/>
      <c r="I12" s="12"/>
      <c r="J12" s="12"/>
      <c r="K12" s="12"/>
    </row>
    <row r="13" customFormat="false" ht="15" hidden="false" customHeight="false" outlineLevel="0" collapsed="false">
      <c r="A13" s="24" t="s">
        <v>193</v>
      </c>
      <c r="B13" s="24" t="s">
        <v>194</v>
      </c>
      <c r="C13" s="24" t="s">
        <v>195</v>
      </c>
      <c r="D13" s="24" t="s">
        <v>196</v>
      </c>
      <c r="E13" s="24" t="s">
        <v>173</v>
      </c>
      <c r="F13" s="12"/>
      <c r="G13" s="12"/>
      <c r="H13" s="12"/>
      <c r="I13" s="12"/>
      <c r="J13" s="12"/>
      <c r="K13" s="12"/>
    </row>
    <row r="14" customFormat="false" ht="15" hidden="false" customHeight="false" outlineLevel="0" collapsed="false">
      <c r="A14" s="24" t="s">
        <v>197</v>
      </c>
      <c r="B14" s="24" t="s">
        <v>198</v>
      </c>
      <c r="C14" s="24" t="s">
        <v>199</v>
      </c>
      <c r="D14" s="24" t="s">
        <v>200</v>
      </c>
      <c r="E14" s="24" t="s">
        <v>173</v>
      </c>
      <c r="F14" s="12"/>
      <c r="G14" s="12"/>
      <c r="H14" s="12"/>
      <c r="I14" s="12"/>
      <c r="J14" s="12"/>
      <c r="K14" s="12"/>
    </row>
    <row r="15" customFormat="false" ht="15" hidden="false" customHeight="false" outlineLevel="0" collapsed="false">
      <c r="A15" s="24" t="s">
        <v>197</v>
      </c>
      <c r="B15" s="24" t="s">
        <v>201</v>
      </c>
      <c r="C15" s="24" t="s">
        <v>202</v>
      </c>
      <c r="D15" s="24" t="s">
        <v>203</v>
      </c>
      <c r="E15" s="24" t="s">
        <v>173</v>
      </c>
      <c r="F15" s="12"/>
      <c r="G15" s="12"/>
      <c r="H15" s="12"/>
      <c r="I15" s="12"/>
      <c r="J15" s="12"/>
      <c r="K15" s="12"/>
    </row>
    <row r="16" customFormat="false" ht="15" hidden="false" customHeight="false" outlineLevel="0" collapsed="false">
      <c r="A16" s="24" t="s">
        <v>204</v>
      </c>
      <c r="B16" s="24" t="s">
        <v>205</v>
      </c>
      <c r="C16" s="24" t="s">
        <v>206</v>
      </c>
      <c r="D16" s="24" t="s">
        <v>207</v>
      </c>
      <c r="E16" s="24" t="s">
        <v>173</v>
      </c>
      <c r="F16" s="12"/>
      <c r="G16" s="12"/>
      <c r="H16" s="12"/>
      <c r="I16" s="12"/>
      <c r="J16" s="12"/>
      <c r="K16" s="12"/>
    </row>
    <row r="17" customFormat="false" ht="23.85" hidden="false" customHeight="false" outlineLevel="0" collapsed="false">
      <c r="A17" s="24" t="s">
        <v>208</v>
      </c>
      <c r="B17" s="24" t="s">
        <v>209</v>
      </c>
      <c r="C17" s="24" t="s">
        <v>210</v>
      </c>
      <c r="D17" s="24" t="s">
        <v>211</v>
      </c>
      <c r="E17" s="24" t="s">
        <v>208</v>
      </c>
      <c r="F17" s="12"/>
      <c r="G17" s="12"/>
      <c r="H17" s="12"/>
      <c r="I17" s="12"/>
      <c r="J17" s="12"/>
      <c r="K17" s="12"/>
    </row>
    <row r="18" customFormat="false" ht="15" hidden="false" customHeight="false" outlineLevel="0" collapsed="false">
      <c r="A18" s="24" t="s">
        <v>208</v>
      </c>
      <c r="B18" s="24" t="s">
        <v>212</v>
      </c>
      <c r="C18" s="24" t="s">
        <v>213</v>
      </c>
      <c r="D18" s="24" t="s">
        <v>214</v>
      </c>
      <c r="E18" s="24" t="s">
        <v>208</v>
      </c>
      <c r="F18" s="12"/>
      <c r="G18" s="12"/>
      <c r="H18" s="12"/>
      <c r="I18" s="12"/>
      <c r="J18" s="12"/>
      <c r="K18" s="12"/>
    </row>
    <row r="19" customFormat="false" ht="15" hidden="false" customHeight="false" outlineLevel="0" collapsed="false">
      <c r="A19" s="24" t="s">
        <v>215</v>
      </c>
      <c r="B19" s="24" t="s">
        <v>216</v>
      </c>
      <c r="C19" s="24" t="s">
        <v>217</v>
      </c>
      <c r="D19" s="24" t="s">
        <v>218</v>
      </c>
      <c r="E19" s="24" t="s">
        <v>215</v>
      </c>
      <c r="F19" s="12"/>
      <c r="G19" s="12"/>
      <c r="H19" s="12"/>
      <c r="I19" s="12"/>
      <c r="J19" s="12"/>
      <c r="K19" s="12"/>
    </row>
    <row r="20" customFormat="false" ht="23.85" hidden="false" customHeight="false" outlineLevel="0" collapsed="false">
      <c r="A20" s="24" t="s">
        <v>215</v>
      </c>
      <c r="B20" s="24" t="s">
        <v>219</v>
      </c>
      <c r="C20" s="24" t="s">
        <v>220</v>
      </c>
      <c r="D20" s="24" t="s">
        <v>221</v>
      </c>
      <c r="E20" s="24" t="s">
        <v>215</v>
      </c>
      <c r="F20" s="12"/>
      <c r="G20" s="12"/>
      <c r="H20" s="12"/>
      <c r="I20" s="12"/>
      <c r="J20" s="12"/>
      <c r="K20" s="12"/>
    </row>
    <row r="21" customFormat="false" ht="23.85" hidden="false" customHeight="false" outlineLevel="0" collapsed="false">
      <c r="A21" s="24" t="s">
        <v>215</v>
      </c>
      <c r="B21" s="24" t="s">
        <v>222</v>
      </c>
      <c r="C21" s="24" t="s">
        <v>223</v>
      </c>
      <c r="D21" s="24" t="s">
        <v>224</v>
      </c>
      <c r="E21" s="24" t="s">
        <v>215</v>
      </c>
      <c r="F21" s="12"/>
      <c r="G21" s="12"/>
      <c r="H21" s="12"/>
      <c r="I21" s="12"/>
      <c r="J21" s="12"/>
      <c r="K21" s="12"/>
    </row>
    <row r="22" customFormat="false" ht="15" hidden="false" customHeight="false" outlineLevel="0" collapsed="false">
      <c r="A22" s="24" t="s">
        <v>215</v>
      </c>
      <c r="B22" s="24" t="s">
        <v>225</v>
      </c>
      <c r="C22" s="24" t="s">
        <v>226</v>
      </c>
      <c r="D22" s="24" t="s">
        <v>227</v>
      </c>
      <c r="E22" s="24" t="s">
        <v>215</v>
      </c>
      <c r="F22" s="12"/>
      <c r="G22" s="12"/>
      <c r="H22" s="12"/>
      <c r="I22" s="12"/>
      <c r="J22" s="12"/>
      <c r="K22" s="12"/>
    </row>
    <row r="23" customFormat="false" ht="23.85" hidden="false" customHeight="false" outlineLevel="0" collapsed="false">
      <c r="A23" s="24" t="s">
        <v>228</v>
      </c>
      <c r="B23" s="24" t="s">
        <v>229</v>
      </c>
      <c r="C23" s="24" t="s">
        <v>230</v>
      </c>
      <c r="D23" s="24" t="s">
        <v>231</v>
      </c>
      <c r="E23" s="24" t="s">
        <v>228</v>
      </c>
      <c r="F23" s="12"/>
      <c r="G23" s="12"/>
      <c r="H23" s="12"/>
      <c r="I23" s="12"/>
      <c r="J23" s="12"/>
      <c r="K23" s="12"/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12"/>
      <c r="G24" s="12"/>
      <c r="H24" s="12"/>
      <c r="I24" s="12"/>
      <c r="J24" s="12"/>
      <c r="K24" s="12"/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12"/>
      <c r="G25" s="12"/>
      <c r="H25" s="12"/>
      <c r="I25" s="12"/>
      <c r="J25" s="12"/>
      <c r="K25" s="12"/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12"/>
      <c r="G26" s="12"/>
      <c r="H26" s="12"/>
      <c r="I26" s="12"/>
      <c r="J26" s="12"/>
      <c r="K26" s="12"/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12"/>
      <c r="G27" s="12"/>
      <c r="H27" s="12"/>
      <c r="I27" s="12"/>
      <c r="J27" s="12"/>
      <c r="K27" s="12"/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12"/>
      <c r="G28" s="12"/>
      <c r="H28" s="12"/>
      <c r="I28" s="12"/>
      <c r="J28" s="12"/>
      <c r="K28" s="12"/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12"/>
      <c r="G29" s="12"/>
      <c r="H29" s="12"/>
      <c r="I29" s="12"/>
      <c r="J29" s="12"/>
      <c r="K29" s="12"/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12"/>
      <c r="G30" s="12"/>
      <c r="H30" s="12"/>
      <c r="I30" s="12"/>
      <c r="J30" s="12"/>
      <c r="K30" s="12"/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12"/>
      <c r="G31" s="12"/>
      <c r="H31" s="12"/>
      <c r="I31" s="12"/>
      <c r="J31" s="12"/>
      <c r="K31" s="12"/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12"/>
      <c r="G32" s="12"/>
      <c r="H32" s="12"/>
      <c r="I32" s="12"/>
      <c r="J32" s="12"/>
      <c r="K32" s="12"/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12"/>
      <c r="G33" s="12"/>
      <c r="H33" s="12"/>
      <c r="I33" s="12"/>
      <c r="J33" s="12"/>
      <c r="K33" s="12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F5:J33" type="list">
      <formula1>"Хочу,Читаю,Прочитал 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2026-10-30T17:12:56Z</dcterms:created>
  <dc:creator>openpyxl</dc:creator>
  <dc:description/>
  <dc:language>en-US</dc:language>
  <cp:lastModifiedBy/>
  <dcterms:modified xsi:type="dcterms:W3CDTF">2026-10-30T17:12:58Z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