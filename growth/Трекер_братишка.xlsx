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Чек-лист" sheetId="2" state="visible" r:id="rId4"/>
    <sheet name="Итоги" sheetId="3" state="visible" r:id="rId5"/>
    <sheet name="Задания" sheetId="4" state="visible" r:id="rId6"/>
    <sheet name="Цели" sheetId="5" state="visible" r:id="rId7"/>
    <sheet name="Книги и навык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Все домашние задания лицея</t>
        </r>
      </text>
    </comment>
    <comment ref="K4" authorId="0">
      <text>
        <r>
          <rPr>
            <sz val="10"/>
            <rFont val="Arial"/>
            <family val="2"/>
          </rPr>
          <t xml:space="preserve">Подкаст / видео / книга — с заметками</t>
        </r>
      </text>
    </comment>
    <comment ref="L4" authorId="0">
      <text>
        <r>
          <rPr>
            <sz val="10"/>
            <rFont val="Arial"/>
            <family val="2"/>
          </rPr>
          <t xml:space="preserve">Скрин или фото заметок Бектуру</t>
        </r>
      </text>
    </comment>
    <comment ref="N4" authorId="0">
      <text>
        <r>
          <rPr>
            <sz val="10"/>
            <rFont val="Arial"/>
            <family val="2"/>
          </rPr>
          <t xml:space="preserve">Родителям, без напоминаний</t>
        </r>
      </text>
    </comment>
    <comment ref="O4" authorId="0">
      <text>
        <r>
          <rPr>
            <sz val="10"/>
            <rFont val="Arial"/>
            <family val="2"/>
          </rPr>
          <t xml:space="preserve">Экранное время в настройках телефона</t>
        </r>
      </text>
    </comment>
    <comment ref="R4" authorId="0">
      <text>
        <r>
          <rPr>
            <sz val="10"/>
            <rFont val="Arial"/>
            <family val="2"/>
          </rPr>
          <t xml:space="preserve">2</t>
        </r>
      </text>
    </comment>
    <comment ref="S4" authorId="0">
      <text>
        <r>
          <rPr>
            <sz val="10"/>
            <rFont val="Arial"/>
            <family val="2"/>
          </rPr>
          <t xml:space="preserve">15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Здесь братишка пишет 3–5 мыслей своими словами.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Пример — замени на свою цель.</t>
        </r>
      </text>
    </comment>
  </commentList>
</comments>
</file>

<file path=xl/sharedStrings.xml><?xml version="1.0" encoding="utf-8"?>
<sst xmlns="http://schemas.openxmlformats.org/spreadsheetml/2006/main" count="258" uniqueCount="157">
  <si>
    <t xml:space="preserve">🧱 ТРЕКЕР РОСТА — братишка (наставник: Бектур)</t>
  </si>
  <si>
    <t xml:space="preserve">КАЖДЫЙ ДЕНЬ</t>
  </si>
  <si>
    <t xml:space="preserve">1. Лист «Чек-лист»: ставишь ✅/❌ по каждому пункту честно.</t>
  </si>
  <si>
    <t xml:space="preserve">2. Вписываешь часы учёбы и страницы книги (норма: 2 ч и 15 стр.).</t>
  </si>
  <si>
    <t xml:space="preserve">3. Пишешь 1 вещь, которую узнал сегодня, и где был слаб.</t>
  </si>
  <si>
    <t xml:space="preserve">ЗАДАНИЯ</t>
  </si>
  <si>
    <t xml:space="preserve">Лист «Задания»: что задал Бектур. Сделал → заполни заметки по шаблону и отправь Бектуру скрин. Бектур пишет отзыв и ставит оценку.</t>
  </si>
  <si>
    <t xml:space="preserve">ШАБЛОН ЗАМЕТОК ПО ПОДКАСТУ</t>
  </si>
  <si>
    <t xml:space="preserve">1) Название и кто говорит  2) 3–5 главных мыслей своими словами  3) 1 цитата, которая зацепила  4) Что я применю уже завтра  5) С чем не согласен / вопрос Бектуру</t>
  </si>
  <si>
    <t xml:space="preserve">КАЖДОЕ ВОСКРЕСЕНЬЕ</t>
  </si>
  <si>
    <t xml:space="preserve">Короткий разговор с Бектуром (15–20 мин): % за неделю на листе «Итоги», что получилось, тема по исламу, задания на неделю.</t>
  </si>
  <si>
    <t xml:space="preserve">⚡ Учёба в лицее — главное. Всё остальное помогает стать сильнее.</t>
  </si>
  <si>
    <t xml:space="preserve">Жёлтые клетки — вписываешь ты. Серые и белые — считаются сами, не трогай.</t>
  </si>
  <si>
    <t xml:space="preserve">Ежедневный чек-лист — Братишка</t>
  </si>
  <si>
    <t xml:space="preserve">Ставь ✅ или ❌ в жёлтых клетках (выпадающий список). Числа — вписывай. % дня считается сам.</t>
  </si>
  <si>
    <t xml:space="preserve">Дата</t>
  </si>
  <si>
    <t xml:space="preserve">Неделя</t>
  </si>
  <si>
    <t xml:space="preserve">День</t>
  </si>
  <si>
    <t xml:space="preserve">Фаджр</t>
  </si>
  <si>
    <t xml:space="preserve">Зухр</t>
  </si>
  <si>
    <t xml:space="preserve">Аср</t>
  </si>
  <si>
    <t xml:space="preserve">Магриб</t>
  </si>
  <si>
    <t xml:space="preserve">Иша</t>
  </si>
  <si>
    <t xml:space="preserve">Коран 10 мин</t>
  </si>
  <si>
    <t xml:space="preserve">Уроки сделаны</t>
  </si>
  <si>
    <t xml:space="preserve">Задание от Бектура</t>
  </si>
  <si>
    <t xml:space="preserve">Заметки отправил</t>
  </si>
  <si>
    <t xml:space="preserve">Спорт / активность</t>
  </si>
  <si>
    <t xml:space="preserve">Помог дома</t>
  </si>
  <si>
    <t xml:space="preserve">Телефон ≤ 2 ч</t>
  </si>
  <si>
    <t xml:space="preserve">Сон до 23:00</t>
  </si>
  <si>
    <t xml:space="preserve">Доброе дело</t>
  </si>
  <si>
    <t xml:space="preserve">Часов учёбы</t>
  </si>
  <si>
    <t xml:space="preserve">Страниц книги</t>
  </si>
  <si>
    <t xml:space="preserve">% дня</t>
  </si>
  <si>
    <t xml:space="preserve">Что узнал нового сегодня</t>
  </si>
  <si>
    <t xml:space="preserve">Где был слаб / что исправлю</t>
  </si>
  <si>
    <t xml:space="preserve">Пт</t>
  </si>
  <si>
    <t xml:space="preserve">Сб</t>
  </si>
  <si>
    <t xml:space="preserve">Вс</t>
  </si>
  <si>
    <t xml:space="preserve">Пн</t>
  </si>
  <si>
    <t xml:space="preserve">Вт</t>
  </si>
  <si>
    <t xml:space="preserve">Ср</t>
  </si>
  <si>
    <t xml:space="preserve">Чт</t>
  </si>
  <si>
    <t xml:space="preserve">Итоги по неделям</t>
  </si>
  <si>
    <t xml:space="preserve">Считается автоматически из чек-листов. Смотрим вместе на созвоне.</t>
  </si>
  <si>
    <t xml:space="preserve">С</t>
  </si>
  <si>
    <t xml:space="preserve">По</t>
  </si>
  <si>
    <t xml:space="preserve">Братишка: средний %</t>
  </si>
  <si>
    <t xml:space="preserve">Братишка: намазов из 35</t>
  </si>
  <si>
    <t xml:space="preserve">Братишка: часов учёбы</t>
  </si>
  <si>
    <t xml:space="preserve">Братишка: страниц книги</t>
  </si>
  <si>
    <t xml:space="preserve">Задания от Бектура</t>
  </si>
  <si>
    <t xml:space="preserve">Бектур заполняет A–D и H–I, братишка — E–G.</t>
  </si>
  <si>
    <t xml:space="preserve">Задание</t>
  </si>
  <si>
    <t xml:space="preserve">Ссылка / книга</t>
  </si>
  <si>
    <t xml:space="preserve">Срок</t>
  </si>
  <si>
    <t xml:space="preserve">Заметки брата (главные мысли)</t>
  </si>
  <si>
    <t xml:space="preserve">Что применит</t>
  </si>
  <si>
    <t xml:space="preserve">Сдал?</t>
  </si>
  <si>
    <t xml:space="preserve">Отзыв Бектура</t>
  </si>
  <si>
    <t xml:space="preserve">Оценка 1–5</t>
  </si>
  <si>
    <t xml:space="preserve">Посмотреть подкаст и выписать заметки по шаблону</t>
  </si>
  <si>
    <t xml:space="preserve">ссылку скинет Бектур</t>
  </si>
  <si>
    <t xml:space="preserve">«Атомные привычки» — гл. 1–2, 3 главные мысли</t>
  </si>
  <si>
    <t xml:space="preserve">Джеймс Клир</t>
  </si>
  <si>
    <t xml:space="preserve">Выучить суру и её смысл (Аль-Аср), рассказать своими словами</t>
  </si>
  <si>
    <t xml:space="preserve">Коран + тафсир</t>
  </si>
  <si>
    <t xml:space="preserve">Подкаст про сон и фокус — что поменяю в режиме</t>
  </si>
  <si>
    <t xml:space="preserve">Huberman Lab (с субтитрами)</t>
  </si>
  <si>
    <t xml:space="preserve">Составить свои 3 цели на ноябрь (лист «Цели»)</t>
  </si>
  <si>
    <t xml:space="preserve">—</t>
  </si>
  <si>
    <t xml:space="preserve">Рисале-и Нур: одно из «Малых слов» — пересказ 5 предложений</t>
  </si>
  <si>
    <t xml:space="preserve">Саид Нурси, «Сөзлер»</t>
  </si>
  <si>
    <t xml:space="preserve">Записать себя на видео 1 мин: что узнал за неделю</t>
  </si>
  <si>
    <t xml:space="preserve">камера телефона</t>
  </si>
  <si>
    <t xml:space="preserve">Сдано заданий:</t>
  </si>
  <si>
    <t xml:space="preserve">Средняя оценка:</t>
  </si>
  <si>
    <t xml:space="preserve">Цели</t>
  </si>
  <si>
    <t xml:space="preserve">Месяц — 3 конкретные цели. Год — 3–5 больших. Цель = что + сколько + к какому числу.</t>
  </si>
  <si>
    <t xml:space="preserve">Кто</t>
  </si>
  <si>
    <t xml:space="preserve">Сфера</t>
  </si>
  <si>
    <t xml:space="preserve">Цель (конкретно, измеримо)</t>
  </si>
  <si>
    <t xml:space="preserve">Первый шаг</t>
  </si>
  <si>
    <t xml:space="preserve">Статус</t>
  </si>
  <si>
    <t xml:space="preserve">Братишка</t>
  </si>
  <si>
    <t xml:space="preserve">Месяц</t>
  </si>
  <si>
    <t xml:space="preserve">Развитие</t>
  </si>
  <si>
    <t xml:space="preserve">Прочитать 600 страниц за ноябрь (20 стр/день)</t>
  </si>
  <si>
    <t xml:space="preserve">Сегодня 20 стр. «Сөзлер» после Иша</t>
  </si>
  <si>
    <t xml:space="preserve">В процессе</t>
  </si>
  <si>
    <t xml:space="preserve">Год</t>
  </si>
  <si>
    <t xml:space="preserve">Книги, подкасты, навыки</t>
  </si>
  <si>
    <t xml:space="preserve">Отмечай, кто что начал / закончил. Новые идеи добавляем сюда.</t>
  </si>
  <si>
    <t xml:space="preserve">Категория</t>
  </si>
  <si>
    <t xml:space="preserve">Название</t>
  </si>
  <si>
    <t xml:space="preserve">Автор / где</t>
  </si>
  <si>
    <t xml:space="preserve">Зачем</t>
  </si>
  <si>
    <t xml:space="preserve">Формат</t>
  </si>
  <si>
    <t xml:space="preserve">Заметки</t>
  </si>
  <si>
    <t xml:space="preserve">Религия</t>
  </si>
  <si>
    <t xml:space="preserve">Рисале-и Нур: «Сөзлер» (Слова)</t>
  </si>
  <si>
    <t xml:space="preserve">Саид Нурси</t>
  </si>
  <si>
    <t xml:space="preserve">Вера через размышление; начать с «Малых слов» и 23-го Слова</t>
  </si>
  <si>
    <t xml:space="preserve">Книга</t>
  </si>
  <si>
    <t xml:space="preserve">Рисале-и Нур: «Лемалар» (Вспышки)</t>
  </si>
  <si>
    <t xml:space="preserve">Сабр, болезнь, тауба — прямо к темам созвонов</t>
  </si>
  <si>
    <t xml:space="preserve">«Изумрудные холмы сердца»</t>
  </si>
  <si>
    <t xml:space="preserve">Фетхуллах Гюлен</t>
  </si>
  <si>
    <t xml:space="preserve">Ихсан, ахляк, духовная работа над собой</t>
  </si>
  <si>
    <t xml:space="preserve">«Вечный свет: Пророк Мухаммад ﷺ»</t>
  </si>
  <si>
    <t xml:space="preserve">Сира — пример характера и лидерства</t>
  </si>
  <si>
    <t xml:space="preserve">Тафсир по 1 странице в день</t>
  </si>
  <si>
    <t xml:space="preserve">любой надёжный тафсир</t>
  </si>
  <si>
    <t xml:space="preserve">Понимать то, что читаешь в Коране</t>
  </si>
  <si>
    <t xml:space="preserve">Мышление</t>
  </si>
  <si>
    <t xml:space="preserve">«Атомные привычки»</t>
  </si>
  <si>
    <t xml:space="preserve">Как держать дисциплину — основа всей этой системы</t>
  </si>
  <si>
    <t xml:space="preserve">«Человек в поисках смысла»</t>
  </si>
  <si>
    <t xml:space="preserve">Виктор Франкл</t>
  </si>
  <si>
    <t xml:space="preserve">Сабр и смысл в трудности</t>
  </si>
  <si>
    <t xml:space="preserve">Учёба</t>
  </si>
  <si>
    <t xml:space="preserve">«Глубокая работа»</t>
  </si>
  <si>
    <t xml:space="preserve">Кэл Ньюпорт</t>
  </si>
  <si>
    <t xml:space="preserve">Фокус 2–4 часа без телефона</t>
  </si>
  <si>
    <t xml:space="preserve">Финансы</t>
  </si>
  <si>
    <t xml:space="preserve">«Самый богатый человек в Вавилоне»</t>
  </si>
  <si>
    <t xml:space="preserve">Джордж Клейсон</t>
  </si>
  <si>
    <t xml:space="preserve">База: копить, не тратить всё, приумножать</t>
  </si>
  <si>
    <t xml:space="preserve">Характер</t>
  </si>
  <si>
    <t xml:space="preserve">«Как завоёвывать друзей…»</t>
  </si>
  <si>
    <t xml:space="preserve">Дейл Карнеги</t>
  </si>
  <si>
    <t xml:space="preserve">Общение, уважение, добрые слова</t>
  </si>
  <si>
    <t xml:space="preserve">Подкаст</t>
  </si>
  <si>
    <t xml:space="preserve">Huberman Lab</t>
  </si>
  <si>
    <t xml:space="preserve">YouTube / Spotify</t>
  </si>
  <si>
    <t xml:space="preserve">Сон, спорт, фокус — по науке (англ., с субтитрами)</t>
  </si>
  <si>
    <t xml:space="preserve">The Diary of a CEO</t>
  </si>
  <si>
    <t xml:space="preserve">YouTube</t>
  </si>
  <si>
    <t xml:space="preserve">Истории людей, бизнес, дисциплина (англ.)</t>
  </si>
  <si>
    <t xml:space="preserve">Навык</t>
  </si>
  <si>
    <t xml:space="preserve">Английский: 20 мин в день</t>
  </si>
  <si>
    <t xml:space="preserve">Duolingo / Anki / сериалы</t>
  </si>
  <si>
    <t xml:space="preserve">Доступ ко всем знаниям мира</t>
  </si>
  <si>
    <t xml:space="preserve">Публичные выступления</t>
  </si>
  <si>
    <t xml:space="preserve">запись себя на 2 мин/день</t>
  </si>
  <si>
    <t xml:space="preserve">Уверенность, подкаст, блог</t>
  </si>
  <si>
    <t xml:space="preserve">ИИ-инструменты (Claude, ChatGPT)</t>
  </si>
  <si>
    <t xml:space="preserve">практика на учёбе и проектах</t>
  </si>
  <si>
    <t xml:space="preserve">Делать за час то, что другие за день</t>
  </si>
  <si>
    <t xml:space="preserve">Excel / Google Таблицы</t>
  </si>
  <si>
    <t xml:space="preserve">YouTube-курсы</t>
  </si>
  <si>
    <t xml:space="preserve">Нужен в любой работе</t>
  </si>
  <si>
    <t xml:space="preserve">Игра</t>
  </si>
  <si>
    <t xml:space="preserve">Шахматы: 1 партия/задача в день</t>
  </si>
  <si>
    <t xml:space="preserve">Chess.com / Lichess</t>
  </si>
  <si>
    <t xml:space="preserve">Мышление на шаги вперёд, можно играть друг с другом онлайн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</si>
</sst>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"/>
    <numFmt numFmtId="166" formatCode="General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6F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6F4A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7D6"/>
        <bgColor rgb="FFF2F2F2"/>
      </patternFill>
    </fill>
    <fill>
      <patternFill patternType="solid">
        <fgColor rgb="FF1F6F4A"/>
        <bgColor rgb="FF008080"/>
      </patternFill>
    </fill>
    <fill>
      <patternFill patternType="solid">
        <fgColor rgb="FFF2F2F2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C0C0C0"/>
      <rgbColor rgb="FF7F7F7F"/>
      <rgbColor rgb="FF9999FF"/>
      <rgbColor rgb="FF993366"/>
      <rgbColor rgb="FFFFF7D6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26.8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26.8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 t="s">
        <v>11</v>
      </c>
    </row>
    <row r="15" customFormat="false" ht="15" hidden="false" customHeight="false" outlineLevel="0" collapsed="false">
      <c r="A15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19" min="4" style="0" width="9"/>
    <col collapsed="false" customWidth="true" hidden="false" outlineLevel="0" max="20" min="20" style="0" width="8"/>
    <col collapsed="false" customWidth="true" hidden="false" outlineLevel="0" max="22" min="21" style="0" width="30"/>
  </cols>
  <sheetData>
    <row r="1" customFormat="false" ht="27.75" hidden="false" customHeight="true" outlineLevel="0" collapsed="false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customFormat="false" ht="15" hidden="false" customHeight="false" outlineLevel="0" collapsed="false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4" customFormat="false" ht="42" hidden="false" customHeight="tru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33</v>
      </c>
      <c r="T4" s="7" t="s">
        <v>34</v>
      </c>
      <c r="U4" s="7" t="s">
        <v>35</v>
      </c>
      <c r="V4" s="7" t="s">
        <v>36</v>
      </c>
    </row>
    <row r="5" customFormat="false" ht="15" hidden="false" customHeight="false" outlineLevel="0" collapsed="false">
      <c r="A5" s="8" t="n">
        <v>46325</v>
      </c>
      <c r="B5" s="9" t="n">
        <f aca="false">INT((A5-$A$5)/7)+1</f>
        <v>1</v>
      </c>
      <c r="C5" s="9" t="s">
        <v>37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 t="str">
        <f aca="false">IF(COUNTA(D5:Q5)=0,"",COUNTIF(D5:Q5,"✅")/14)</f>
        <v/>
      </c>
      <c r="U5" s="12"/>
      <c r="V5" s="12"/>
    </row>
    <row r="6" customFormat="false" ht="15" hidden="false" customHeight="false" outlineLevel="0" collapsed="false">
      <c r="A6" s="8" t="n">
        <v>46326</v>
      </c>
      <c r="B6" s="9" t="n">
        <f aca="false">INT((A6-$A$5)/7)+1</f>
        <v>1</v>
      </c>
      <c r="C6" s="9" t="s">
        <v>38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 t="str">
        <f aca="false">IF(COUNTA(D6:Q6)=0,"",COUNTIF(D6:Q6,"✅")/14)</f>
        <v/>
      </c>
      <c r="U6" s="12"/>
      <c r="V6" s="12"/>
    </row>
    <row r="7" customFormat="false" ht="15" hidden="false" customHeight="false" outlineLevel="0" collapsed="false">
      <c r="A7" s="13" t="n">
        <v>46327</v>
      </c>
      <c r="B7" s="14" t="n">
        <f aca="false">INT((A7-$A$5)/7)+1</f>
        <v>1</v>
      </c>
      <c r="C7" s="14" t="s">
        <v>39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1" t="str">
        <f aca="false">IF(COUNTA(D7:Q7)=0,"",COUNTIF(D7:Q7,"✅")/14)</f>
        <v/>
      </c>
      <c r="U7" s="12"/>
      <c r="V7" s="12"/>
    </row>
    <row r="8" customFormat="false" ht="15" hidden="false" customHeight="false" outlineLevel="0" collapsed="false">
      <c r="A8" s="8" t="n">
        <v>46328</v>
      </c>
      <c r="B8" s="9" t="n">
        <f aca="false">INT((A8-$A$5)/7)+1</f>
        <v>1</v>
      </c>
      <c r="C8" s="9" t="s">
        <v>40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 t="str">
        <f aca="false">IF(COUNTA(D8:Q8)=0,"",COUNTIF(D8:Q8,"✅")/14)</f>
        <v/>
      </c>
      <c r="U8" s="12"/>
      <c r="V8" s="12"/>
    </row>
    <row r="9" customFormat="false" ht="15" hidden="false" customHeight="false" outlineLevel="0" collapsed="false">
      <c r="A9" s="8" t="n">
        <v>46329</v>
      </c>
      <c r="B9" s="9" t="n">
        <f aca="false">INT((A9-$A$5)/7)+1</f>
        <v>1</v>
      </c>
      <c r="C9" s="9" t="s">
        <v>41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 t="str">
        <f aca="false">IF(COUNTA(D9:Q9)=0,"",COUNTIF(D9:Q9,"✅")/14)</f>
        <v/>
      </c>
      <c r="U9" s="12"/>
      <c r="V9" s="12"/>
    </row>
    <row r="10" customFormat="false" ht="15" hidden="false" customHeight="false" outlineLevel="0" collapsed="false">
      <c r="A10" s="8" t="n">
        <v>46330</v>
      </c>
      <c r="B10" s="9" t="n">
        <f aca="false">INT((A10-$A$5)/7)+1</f>
        <v>1</v>
      </c>
      <c r="C10" s="9" t="s">
        <v>42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 t="str">
        <f aca="false">IF(COUNTA(D10:Q10)=0,"",COUNTIF(D10:Q10,"✅")/14)</f>
        <v/>
      </c>
      <c r="U10" s="12"/>
      <c r="V10" s="12"/>
    </row>
    <row r="11" customFormat="false" ht="15" hidden="false" customHeight="false" outlineLevel="0" collapsed="false">
      <c r="A11" s="8" t="n">
        <v>46331</v>
      </c>
      <c r="B11" s="9" t="n">
        <f aca="false">INT((A11-$A$5)/7)+1</f>
        <v>1</v>
      </c>
      <c r="C11" s="9" t="s">
        <v>43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 t="str">
        <f aca="false">IF(COUNTA(D11:Q11)=0,"",COUNTIF(D11:Q11,"✅")/14)</f>
        <v/>
      </c>
      <c r="U11" s="12"/>
      <c r="V11" s="12"/>
    </row>
    <row r="12" customFormat="false" ht="15" hidden="false" customHeight="false" outlineLevel="0" collapsed="false">
      <c r="A12" s="8" t="n">
        <v>46332</v>
      </c>
      <c r="B12" s="9" t="n">
        <f aca="false">INT((A12-$A$5)/7)+1</f>
        <v>2</v>
      </c>
      <c r="C12" s="9" t="s">
        <v>37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1" t="str">
        <f aca="false">IF(COUNTA(D12:Q12)=0,"",COUNTIF(D12:Q12,"✅")/14)</f>
        <v/>
      </c>
      <c r="U12" s="12"/>
      <c r="V12" s="12"/>
    </row>
    <row r="13" customFormat="false" ht="15" hidden="false" customHeight="false" outlineLevel="0" collapsed="false">
      <c r="A13" s="8" t="n">
        <v>46333</v>
      </c>
      <c r="B13" s="9" t="n">
        <f aca="false">INT((A13-$A$5)/7)+1</f>
        <v>2</v>
      </c>
      <c r="C13" s="9" t="s">
        <v>38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 t="str">
        <f aca="false">IF(COUNTA(D13:Q13)=0,"",COUNTIF(D13:Q13,"✅")/14)</f>
        <v/>
      </c>
      <c r="U13" s="12"/>
      <c r="V13" s="12"/>
    </row>
    <row r="14" customFormat="false" ht="15" hidden="false" customHeight="false" outlineLevel="0" collapsed="false">
      <c r="A14" s="13" t="n">
        <v>46334</v>
      </c>
      <c r="B14" s="14" t="n">
        <f aca="false">INT((A14-$A$5)/7)+1</f>
        <v>2</v>
      </c>
      <c r="C14" s="14" t="s">
        <v>39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 t="str">
        <f aca="false">IF(COUNTA(D14:Q14)=0,"",COUNTIF(D14:Q14,"✅")/14)</f>
        <v/>
      </c>
      <c r="U14" s="12"/>
      <c r="V14" s="12"/>
    </row>
    <row r="15" customFormat="false" ht="15" hidden="false" customHeight="false" outlineLevel="0" collapsed="false">
      <c r="A15" s="8" t="n">
        <v>46335</v>
      </c>
      <c r="B15" s="9" t="n">
        <f aca="false">INT((A15-$A$5)/7)+1</f>
        <v>2</v>
      </c>
      <c r="C15" s="9" t="s">
        <v>40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 t="str">
        <f aca="false">IF(COUNTA(D15:Q15)=0,"",COUNTIF(D15:Q15,"✅")/14)</f>
        <v/>
      </c>
      <c r="U15" s="12"/>
      <c r="V15" s="12"/>
    </row>
    <row r="16" customFormat="false" ht="15" hidden="false" customHeight="false" outlineLevel="0" collapsed="false">
      <c r="A16" s="8" t="n">
        <v>46336</v>
      </c>
      <c r="B16" s="9" t="n">
        <f aca="false">INT((A16-$A$5)/7)+1</f>
        <v>2</v>
      </c>
      <c r="C16" s="9" t="s">
        <v>41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 t="str">
        <f aca="false">IF(COUNTA(D16:Q16)=0,"",COUNTIF(D16:Q16,"✅")/14)</f>
        <v/>
      </c>
      <c r="U16" s="12"/>
      <c r="V16" s="12"/>
    </row>
    <row r="17" customFormat="false" ht="15" hidden="false" customHeight="false" outlineLevel="0" collapsed="false">
      <c r="A17" s="8" t="n">
        <v>46337</v>
      </c>
      <c r="B17" s="9" t="n">
        <f aca="false">INT((A17-$A$5)/7)+1</f>
        <v>2</v>
      </c>
      <c r="C17" s="9" t="s">
        <v>42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 t="str">
        <f aca="false">IF(COUNTA(D17:Q17)=0,"",COUNTIF(D17:Q17,"✅")/14)</f>
        <v/>
      </c>
      <c r="U17" s="12"/>
      <c r="V17" s="12"/>
    </row>
    <row r="18" customFormat="false" ht="15" hidden="false" customHeight="false" outlineLevel="0" collapsed="false">
      <c r="A18" s="8" t="n">
        <v>46338</v>
      </c>
      <c r="B18" s="9" t="n">
        <f aca="false">INT((A18-$A$5)/7)+1</f>
        <v>2</v>
      </c>
      <c r="C18" s="9" t="s">
        <v>43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 t="str">
        <f aca="false">IF(COUNTA(D18:Q18)=0,"",COUNTIF(D18:Q18,"✅")/14)</f>
        <v/>
      </c>
      <c r="U18" s="12"/>
      <c r="V18" s="12"/>
    </row>
    <row r="19" customFormat="false" ht="15" hidden="false" customHeight="false" outlineLevel="0" collapsed="false">
      <c r="A19" s="8" t="n">
        <v>46339</v>
      </c>
      <c r="B19" s="9" t="n">
        <f aca="false">INT((A19-$A$5)/7)+1</f>
        <v>3</v>
      </c>
      <c r="C19" s="9" t="s">
        <v>37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 t="str">
        <f aca="false">IF(COUNTA(D19:Q19)=0,"",COUNTIF(D19:Q19,"✅")/14)</f>
        <v/>
      </c>
      <c r="U19" s="12"/>
      <c r="V19" s="12"/>
    </row>
    <row r="20" customFormat="false" ht="15" hidden="false" customHeight="false" outlineLevel="0" collapsed="false">
      <c r="A20" s="8" t="n">
        <v>46340</v>
      </c>
      <c r="B20" s="9" t="n">
        <f aca="false">INT((A20-$A$5)/7)+1</f>
        <v>3</v>
      </c>
      <c r="C20" s="9" t="s">
        <v>38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 t="str">
        <f aca="false">IF(COUNTA(D20:Q20)=0,"",COUNTIF(D20:Q20,"✅")/14)</f>
        <v/>
      </c>
      <c r="U20" s="12"/>
      <c r="V20" s="12"/>
    </row>
    <row r="21" customFormat="false" ht="15" hidden="false" customHeight="false" outlineLevel="0" collapsed="false">
      <c r="A21" s="13" t="n">
        <v>46341</v>
      </c>
      <c r="B21" s="14" t="n">
        <f aca="false">INT((A21-$A$5)/7)+1</f>
        <v>3</v>
      </c>
      <c r="C21" s="14" t="s">
        <v>39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 t="str">
        <f aca="false">IF(COUNTA(D21:Q21)=0,"",COUNTIF(D21:Q21,"✅")/14)</f>
        <v/>
      </c>
      <c r="U21" s="12"/>
      <c r="V21" s="12"/>
    </row>
    <row r="22" customFormat="false" ht="15" hidden="false" customHeight="false" outlineLevel="0" collapsed="false">
      <c r="A22" s="8" t="n">
        <v>46342</v>
      </c>
      <c r="B22" s="9" t="n">
        <f aca="false">INT((A22-$A$5)/7)+1</f>
        <v>3</v>
      </c>
      <c r="C22" s="9" t="s">
        <v>40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 t="str">
        <f aca="false">IF(COUNTA(D22:Q22)=0,"",COUNTIF(D22:Q22,"✅")/14)</f>
        <v/>
      </c>
      <c r="U22" s="12"/>
      <c r="V22" s="12"/>
    </row>
    <row r="23" customFormat="false" ht="15" hidden="false" customHeight="false" outlineLevel="0" collapsed="false">
      <c r="A23" s="8" t="n">
        <v>46343</v>
      </c>
      <c r="B23" s="9" t="n">
        <f aca="false">INT((A23-$A$5)/7)+1</f>
        <v>3</v>
      </c>
      <c r="C23" s="9" t="s">
        <v>41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 t="str">
        <f aca="false">IF(COUNTA(D23:Q23)=0,"",COUNTIF(D23:Q23,"✅")/14)</f>
        <v/>
      </c>
      <c r="U23" s="12"/>
      <c r="V23" s="12"/>
    </row>
    <row r="24" customFormat="false" ht="15" hidden="false" customHeight="false" outlineLevel="0" collapsed="false">
      <c r="A24" s="8" t="n">
        <v>46344</v>
      </c>
      <c r="B24" s="9" t="n">
        <f aca="false">INT((A24-$A$5)/7)+1</f>
        <v>3</v>
      </c>
      <c r="C24" s="9" t="s">
        <v>42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 t="str">
        <f aca="false">IF(COUNTA(D24:Q24)=0,"",COUNTIF(D24:Q24,"✅")/14)</f>
        <v/>
      </c>
      <c r="U24" s="12"/>
      <c r="V24" s="12"/>
    </row>
    <row r="25" customFormat="false" ht="15" hidden="false" customHeight="false" outlineLevel="0" collapsed="false">
      <c r="A25" s="8" t="n">
        <v>46345</v>
      </c>
      <c r="B25" s="9" t="n">
        <f aca="false">INT((A25-$A$5)/7)+1</f>
        <v>3</v>
      </c>
      <c r="C25" s="9" t="s">
        <v>43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 t="str">
        <f aca="false">IF(COUNTA(D25:Q25)=0,"",COUNTIF(D25:Q25,"✅")/14)</f>
        <v/>
      </c>
      <c r="U25" s="12"/>
      <c r="V25" s="12"/>
    </row>
    <row r="26" customFormat="false" ht="15" hidden="false" customHeight="false" outlineLevel="0" collapsed="false">
      <c r="A26" s="8" t="n">
        <v>46346</v>
      </c>
      <c r="B26" s="9" t="n">
        <f aca="false">INT((A26-$A$5)/7)+1</f>
        <v>4</v>
      </c>
      <c r="C26" s="9" t="s">
        <v>37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 t="str">
        <f aca="false">IF(COUNTA(D26:Q26)=0,"",COUNTIF(D26:Q26,"✅")/14)</f>
        <v/>
      </c>
      <c r="U26" s="12"/>
      <c r="V26" s="12"/>
    </row>
    <row r="27" customFormat="false" ht="15" hidden="false" customHeight="false" outlineLevel="0" collapsed="false">
      <c r="A27" s="8" t="n">
        <v>46347</v>
      </c>
      <c r="B27" s="9" t="n">
        <f aca="false">INT((A27-$A$5)/7)+1</f>
        <v>4</v>
      </c>
      <c r="C27" s="9" t="s">
        <v>38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 t="str">
        <f aca="false">IF(COUNTA(D27:Q27)=0,"",COUNTIF(D27:Q27,"✅")/14)</f>
        <v/>
      </c>
      <c r="U27" s="12"/>
      <c r="V27" s="12"/>
    </row>
    <row r="28" customFormat="false" ht="15" hidden="false" customHeight="false" outlineLevel="0" collapsed="false">
      <c r="A28" s="13" t="n">
        <v>46348</v>
      </c>
      <c r="B28" s="14" t="n">
        <f aca="false">INT((A28-$A$5)/7)+1</f>
        <v>4</v>
      </c>
      <c r="C28" s="14" t="s">
        <v>39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 t="str">
        <f aca="false">IF(COUNTA(D28:Q28)=0,"",COUNTIF(D28:Q28,"✅")/14)</f>
        <v/>
      </c>
      <c r="U28" s="12"/>
      <c r="V28" s="12"/>
    </row>
    <row r="29" customFormat="false" ht="15" hidden="false" customHeight="false" outlineLevel="0" collapsed="false">
      <c r="A29" s="8" t="n">
        <v>46349</v>
      </c>
      <c r="B29" s="9" t="n">
        <f aca="false">INT((A29-$A$5)/7)+1</f>
        <v>4</v>
      </c>
      <c r="C29" s="9" t="s">
        <v>40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 t="str">
        <f aca="false">IF(COUNTA(D29:Q29)=0,"",COUNTIF(D29:Q29,"✅")/14)</f>
        <v/>
      </c>
      <c r="U29" s="12"/>
      <c r="V29" s="12"/>
    </row>
    <row r="30" customFormat="false" ht="15" hidden="false" customHeight="false" outlineLevel="0" collapsed="false">
      <c r="A30" s="8" t="n">
        <v>46350</v>
      </c>
      <c r="B30" s="9" t="n">
        <f aca="false">INT((A30-$A$5)/7)+1</f>
        <v>4</v>
      </c>
      <c r="C30" s="9" t="s">
        <v>41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 t="str">
        <f aca="false">IF(COUNTA(D30:Q30)=0,"",COUNTIF(D30:Q30,"✅")/14)</f>
        <v/>
      </c>
      <c r="U30" s="12"/>
      <c r="V30" s="12"/>
    </row>
    <row r="31" customFormat="false" ht="15" hidden="false" customHeight="false" outlineLevel="0" collapsed="false">
      <c r="A31" s="8" t="n">
        <v>46351</v>
      </c>
      <c r="B31" s="9" t="n">
        <f aca="false">INT((A31-$A$5)/7)+1</f>
        <v>4</v>
      </c>
      <c r="C31" s="9" t="s">
        <v>42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 t="str">
        <f aca="false">IF(COUNTA(D31:Q31)=0,"",COUNTIF(D31:Q31,"✅")/14)</f>
        <v/>
      </c>
      <c r="U31" s="12"/>
      <c r="V31" s="12"/>
    </row>
    <row r="32" customFormat="false" ht="15" hidden="false" customHeight="false" outlineLevel="0" collapsed="false">
      <c r="A32" s="8" t="n">
        <v>46352</v>
      </c>
      <c r="B32" s="9" t="n">
        <f aca="false">INT((A32-$A$5)/7)+1</f>
        <v>4</v>
      </c>
      <c r="C32" s="9" t="s">
        <v>43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 t="str">
        <f aca="false">IF(COUNTA(D32:Q32)=0,"",COUNTIF(D32:Q32,"✅")/14)</f>
        <v/>
      </c>
      <c r="U32" s="12"/>
      <c r="V32" s="12"/>
    </row>
    <row r="33" customFormat="false" ht="15" hidden="false" customHeight="false" outlineLevel="0" collapsed="false">
      <c r="A33" s="8" t="n">
        <v>46353</v>
      </c>
      <c r="B33" s="9" t="n">
        <f aca="false">INT((A33-$A$5)/7)+1</f>
        <v>5</v>
      </c>
      <c r="C33" s="9" t="s">
        <v>37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 t="str">
        <f aca="false">IF(COUNTA(D33:Q33)=0,"",COUNTIF(D33:Q33,"✅")/14)</f>
        <v/>
      </c>
      <c r="U33" s="12"/>
      <c r="V33" s="12"/>
    </row>
    <row r="34" customFormat="false" ht="15" hidden="false" customHeight="false" outlineLevel="0" collapsed="false">
      <c r="A34" s="8" t="n">
        <v>46354</v>
      </c>
      <c r="B34" s="9" t="n">
        <f aca="false">INT((A34-$A$5)/7)+1</f>
        <v>5</v>
      </c>
      <c r="C34" s="9" t="s">
        <v>38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 t="str">
        <f aca="false">IF(COUNTA(D34:Q34)=0,"",COUNTIF(D34:Q34,"✅")/14)</f>
        <v/>
      </c>
      <c r="U34" s="12"/>
      <c r="V34" s="12"/>
    </row>
    <row r="35" customFormat="false" ht="15" hidden="false" customHeight="false" outlineLevel="0" collapsed="false">
      <c r="A35" s="13" t="n">
        <v>46355</v>
      </c>
      <c r="B35" s="14" t="n">
        <f aca="false">INT((A35-$A$5)/7)+1</f>
        <v>5</v>
      </c>
      <c r="C35" s="14" t="s">
        <v>39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 t="str">
        <f aca="false">IF(COUNTA(D35:Q35)=0,"",COUNTIF(D35:Q35,"✅")/14)</f>
        <v/>
      </c>
      <c r="U35" s="12"/>
      <c r="V35" s="12"/>
    </row>
    <row r="36" customFormat="false" ht="15" hidden="false" customHeight="false" outlineLevel="0" collapsed="false">
      <c r="A36" s="8" t="n">
        <v>46356</v>
      </c>
      <c r="B36" s="9" t="n">
        <f aca="false">INT((A36-$A$5)/7)+1</f>
        <v>5</v>
      </c>
      <c r="C36" s="9" t="s">
        <v>40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 t="str">
        <f aca="false">IF(COUNTA(D36:Q36)=0,"",COUNTIF(D36:Q36,"✅")/14)</f>
        <v/>
      </c>
      <c r="U36" s="12"/>
      <c r="V36" s="12"/>
    </row>
    <row r="37" customFormat="false" ht="15" hidden="false" customHeight="false" outlineLevel="0" collapsed="false">
      <c r="A37" s="8" t="n">
        <v>46357</v>
      </c>
      <c r="B37" s="9" t="n">
        <f aca="false">INT((A37-$A$5)/7)+1</f>
        <v>5</v>
      </c>
      <c r="C37" s="9" t="s">
        <v>41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 t="str">
        <f aca="false">IF(COUNTA(D37:Q37)=0,"",COUNTIF(D37:Q37,"✅")/14)</f>
        <v/>
      </c>
      <c r="U37" s="12"/>
      <c r="V37" s="12"/>
    </row>
    <row r="38" customFormat="false" ht="15" hidden="false" customHeight="false" outlineLevel="0" collapsed="false">
      <c r="A38" s="8" t="n">
        <v>46358</v>
      </c>
      <c r="B38" s="9" t="n">
        <f aca="false">INT((A38-$A$5)/7)+1</f>
        <v>5</v>
      </c>
      <c r="C38" s="9" t="s">
        <v>42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 t="str">
        <f aca="false">IF(COUNTA(D38:Q38)=0,"",COUNTIF(D38:Q38,"✅")/14)</f>
        <v/>
      </c>
      <c r="U38" s="12"/>
      <c r="V38" s="12"/>
    </row>
    <row r="39" customFormat="false" ht="15" hidden="false" customHeight="false" outlineLevel="0" collapsed="false">
      <c r="A39" s="8" t="n">
        <v>46359</v>
      </c>
      <c r="B39" s="9" t="n">
        <f aca="false">INT((A39-$A$5)/7)+1</f>
        <v>5</v>
      </c>
      <c r="C39" s="9" t="s">
        <v>43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 t="str">
        <f aca="false">IF(COUNTA(D39:Q39)=0,"",COUNTIF(D39:Q39,"✅")/14)</f>
        <v/>
      </c>
      <c r="U39" s="12"/>
      <c r="V39" s="12"/>
    </row>
    <row r="40" customFormat="false" ht="15" hidden="false" customHeight="false" outlineLevel="0" collapsed="false">
      <c r="A40" s="8" t="n">
        <v>46360</v>
      </c>
      <c r="B40" s="9" t="n">
        <f aca="false">INT((A40-$A$5)/7)+1</f>
        <v>6</v>
      </c>
      <c r="C40" s="9" t="s">
        <v>37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 t="str">
        <f aca="false">IF(COUNTA(D40:Q40)=0,"",COUNTIF(D40:Q40,"✅")/14)</f>
        <v/>
      </c>
      <c r="U40" s="12"/>
      <c r="V40" s="12"/>
    </row>
    <row r="41" customFormat="false" ht="15" hidden="false" customHeight="false" outlineLevel="0" collapsed="false">
      <c r="A41" s="8" t="n">
        <v>46361</v>
      </c>
      <c r="B41" s="9" t="n">
        <f aca="false">INT((A41-$A$5)/7)+1</f>
        <v>6</v>
      </c>
      <c r="C41" s="9" t="s">
        <v>38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 t="str">
        <f aca="false">IF(COUNTA(D41:Q41)=0,"",COUNTIF(D41:Q41,"✅")/14)</f>
        <v/>
      </c>
      <c r="U41" s="12"/>
      <c r="V41" s="12"/>
    </row>
    <row r="42" customFormat="false" ht="15" hidden="false" customHeight="false" outlineLevel="0" collapsed="false">
      <c r="A42" s="13" t="n">
        <v>46362</v>
      </c>
      <c r="B42" s="14" t="n">
        <f aca="false">INT((A42-$A$5)/7)+1</f>
        <v>6</v>
      </c>
      <c r="C42" s="14" t="s">
        <v>39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 t="str">
        <f aca="false">IF(COUNTA(D42:Q42)=0,"",COUNTIF(D42:Q42,"✅")/14)</f>
        <v/>
      </c>
      <c r="U42" s="12"/>
      <c r="V42" s="12"/>
    </row>
    <row r="43" customFormat="false" ht="15" hidden="false" customHeight="false" outlineLevel="0" collapsed="false">
      <c r="A43" s="8" t="n">
        <v>46363</v>
      </c>
      <c r="B43" s="9" t="n">
        <f aca="false">INT((A43-$A$5)/7)+1</f>
        <v>6</v>
      </c>
      <c r="C43" s="9" t="s">
        <v>40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 t="str">
        <f aca="false">IF(COUNTA(D43:Q43)=0,"",COUNTIF(D43:Q43,"✅")/14)</f>
        <v/>
      </c>
      <c r="U43" s="12"/>
      <c r="V43" s="12"/>
    </row>
    <row r="44" customFormat="false" ht="15" hidden="false" customHeight="false" outlineLevel="0" collapsed="false">
      <c r="A44" s="8" t="n">
        <v>46364</v>
      </c>
      <c r="B44" s="9" t="n">
        <f aca="false">INT((A44-$A$5)/7)+1</f>
        <v>6</v>
      </c>
      <c r="C44" s="9" t="s">
        <v>41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 t="str">
        <f aca="false">IF(COUNTA(D44:Q44)=0,"",COUNTIF(D44:Q44,"✅")/14)</f>
        <v/>
      </c>
      <c r="U44" s="12"/>
      <c r="V44" s="12"/>
    </row>
    <row r="45" customFormat="false" ht="15" hidden="false" customHeight="false" outlineLevel="0" collapsed="false">
      <c r="A45" s="8" t="n">
        <v>46365</v>
      </c>
      <c r="B45" s="9" t="n">
        <f aca="false">INT((A45-$A$5)/7)+1</f>
        <v>6</v>
      </c>
      <c r="C45" s="9" t="s">
        <v>42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 t="str">
        <f aca="false">IF(COUNTA(D45:Q45)=0,"",COUNTIF(D45:Q45,"✅")/14)</f>
        <v/>
      </c>
      <c r="U45" s="12"/>
      <c r="V45" s="12"/>
    </row>
    <row r="46" customFormat="false" ht="15" hidden="false" customHeight="false" outlineLevel="0" collapsed="false">
      <c r="A46" s="8" t="n">
        <v>46366</v>
      </c>
      <c r="B46" s="9" t="n">
        <f aca="false">INT((A46-$A$5)/7)+1</f>
        <v>6</v>
      </c>
      <c r="C46" s="9" t="s">
        <v>43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 t="str">
        <f aca="false">IF(COUNTA(D46:Q46)=0,"",COUNTIF(D46:Q46,"✅")/14)</f>
        <v/>
      </c>
      <c r="U46" s="12"/>
      <c r="V46" s="12"/>
    </row>
    <row r="47" customFormat="false" ht="15" hidden="false" customHeight="false" outlineLevel="0" collapsed="false">
      <c r="A47" s="8" t="n">
        <v>46367</v>
      </c>
      <c r="B47" s="9" t="n">
        <f aca="false">INT((A47-$A$5)/7)+1</f>
        <v>7</v>
      </c>
      <c r="C47" s="9" t="s">
        <v>37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 t="str">
        <f aca="false">IF(COUNTA(D47:Q47)=0,"",COUNTIF(D47:Q47,"✅")/14)</f>
        <v/>
      </c>
      <c r="U47" s="12"/>
      <c r="V47" s="12"/>
    </row>
    <row r="48" customFormat="false" ht="15" hidden="false" customHeight="false" outlineLevel="0" collapsed="false">
      <c r="A48" s="8" t="n">
        <v>46368</v>
      </c>
      <c r="B48" s="9" t="n">
        <f aca="false">INT((A48-$A$5)/7)+1</f>
        <v>7</v>
      </c>
      <c r="C48" s="9" t="s">
        <v>38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 t="str">
        <f aca="false">IF(COUNTA(D48:Q48)=0,"",COUNTIF(D48:Q48,"✅")/14)</f>
        <v/>
      </c>
      <c r="U48" s="12"/>
      <c r="V48" s="12"/>
    </row>
    <row r="49" customFormat="false" ht="15" hidden="false" customHeight="false" outlineLevel="0" collapsed="false">
      <c r="A49" s="13" t="n">
        <v>46369</v>
      </c>
      <c r="B49" s="14" t="n">
        <f aca="false">INT((A49-$A$5)/7)+1</f>
        <v>7</v>
      </c>
      <c r="C49" s="14" t="s">
        <v>39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 t="str">
        <f aca="false">IF(COUNTA(D49:Q49)=0,"",COUNTIF(D49:Q49,"✅")/14)</f>
        <v/>
      </c>
      <c r="U49" s="12"/>
      <c r="V49" s="12"/>
    </row>
    <row r="50" customFormat="false" ht="15" hidden="false" customHeight="false" outlineLevel="0" collapsed="false">
      <c r="A50" s="8" t="n">
        <v>46370</v>
      </c>
      <c r="B50" s="9" t="n">
        <f aca="false">INT((A50-$A$5)/7)+1</f>
        <v>7</v>
      </c>
      <c r="C50" s="9" t="s">
        <v>40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1" t="str">
        <f aca="false">IF(COUNTA(D50:Q50)=0,"",COUNTIF(D50:Q50,"✅")/14)</f>
        <v/>
      </c>
      <c r="U50" s="12"/>
      <c r="V50" s="12"/>
    </row>
    <row r="51" customFormat="false" ht="15" hidden="false" customHeight="false" outlineLevel="0" collapsed="false">
      <c r="A51" s="8" t="n">
        <v>46371</v>
      </c>
      <c r="B51" s="9" t="n">
        <f aca="false">INT((A51-$A$5)/7)+1</f>
        <v>7</v>
      </c>
      <c r="C51" s="9" t="s">
        <v>41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1" t="str">
        <f aca="false">IF(COUNTA(D51:Q51)=0,"",COUNTIF(D51:Q51,"✅")/14)</f>
        <v/>
      </c>
      <c r="U51" s="12"/>
      <c r="V51" s="12"/>
    </row>
    <row r="52" customFormat="false" ht="15" hidden="false" customHeight="false" outlineLevel="0" collapsed="false">
      <c r="A52" s="8" t="n">
        <v>46372</v>
      </c>
      <c r="B52" s="9" t="n">
        <f aca="false">INT((A52-$A$5)/7)+1</f>
        <v>7</v>
      </c>
      <c r="C52" s="9" t="s">
        <v>42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1" t="str">
        <f aca="false">IF(COUNTA(D52:Q52)=0,"",COUNTIF(D52:Q52,"✅")/14)</f>
        <v/>
      </c>
      <c r="U52" s="12"/>
      <c r="V52" s="12"/>
    </row>
    <row r="53" customFormat="false" ht="15" hidden="false" customHeight="false" outlineLevel="0" collapsed="false">
      <c r="A53" s="8" t="n">
        <v>46373</v>
      </c>
      <c r="B53" s="9" t="n">
        <f aca="false">INT((A53-$A$5)/7)+1</f>
        <v>7</v>
      </c>
      <c r="C53" s="9" t="s">
        <v>43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 t="str">
        <f aca="false">IF(COUNTA(D53:Q53)=0,"",COUNTIF(D53:Q53,"✅")/14)</f>
        <v/>
      </c>
      <c r="U53" s="12"/>
      <c r="V53" s="12"/>
    </row>
    <row r="54" customFormat="false" ht="15" hidden="false" customHeight="false" outlineLevel="0" collapsed="false">
      <c r="A54" s="8" t="n">
        <v>46374</v>
      </c>
      <c r="B54" s="9" t="n">
        <f aca="false">INT((A54-$A$5)/7)+1</f>
        <v>8</v>
      </c>
      <c r="C54" s="9" t="s">
        <v>37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1" t="str">
        <f aca="false">IF(COUNTA(D54:Q54)=0,"",COUNTIF(D54:Q54,"✅")/14)</f>
        <v/>
      </c>
      <c r="U54" s="12"/>
      <c r="V54" s="12"/>
    </row>
    <row r="55" customFormat="false" ht="15" hidden="false" customHeight="false" outlineLevel="0" collapsed="false">
      <c r="A55" s="8" t="n">
        <v>46375</v>
      </c>
      <c r="B55" s="9" t="n">
        <f aca="false">INT((A55-$A$5)/7)+1</f>
        <v>8</v>
      </c>
      <c r="C55" s="9" t="s">
        <v>38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1" t="str">
        <f aca="false">IF(COUNTA(D55:Q55)=0,"",COUNTIF(D55:Q55,"✅")/14)</f>
        <v/>
      </c>
      <c r="U55" s="12"/>
      <c r="V55" s="12"/>
    </row>
    <row r="56" customFormat="false" ht="15" hidden="false" customHeight="false" outlineLevel="0" collapsed="false">
      <c r="A56" s="13" t="n">
        <v>46376</v>
      </c>
      <c r="B56" s="14" t="n">
        <f aca="false">INT((A56-$A$5)/7)+1</f>
        <v>8</v>
      </c>
      <c r="C56" s="14" t="s">
        <v>39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1" t="str">
        <f aca="false">IF(COUNTA(D56:Q56)=0,"",COUNTIF(D56:Q56,"✅")/14)</f>
        <v/>
      </c>
      <c r="U56" s="12"/>
      <c r="V56" s="12"/>
    </row>
    <row r="57" customFormat="false" ht="15" hidden="false" customHeight="false" outlineLevel="0" collapsed="false">
      <c r="A57" s="8" t="n">
        <v>46377</v>
      </c>
      <c r="B57" s="9" t="n">
        <f aca="false">INT((A57-$A$5)/7)+1</f>
        <v>8</v>
      </c>
      <c r="C57" s="9" t="s">
        <v>40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1" t="str">
        <f aca="false">IF(COUNTA(D57:Q57)=0,"",COUNTIF(D57:Q57,"✅")/14)</f>
        <v/>
      </c>
      <c r="U57" s="12"/>
      <c r="V57" s="12"/>
    </row>
    <row r="58" customFormat="false" ht="15" hidden="false" customHeight="false" outlineLevel="0" collapsed="false">
      <c r="A58" s="8" t="n">
        <v>46378</v>
      </c>
      <c r="B58" s="9" t="n">
        <f aca="false">INT((A58-$A$5)/7)+1</f>
        <v>8</v>
      </c>
      <c r="C58" s="9" t="s">
        <v>41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1" t="str">
        <f aca="false">IF(COUNTA(D58:Q58)=0,"",COUNTIF(D58:Q58,"✅")/14)</f>
        <v/>
      </c>
      <c r="U58" s="12"/>
      <c r="V58" s="12"/>
    </row>
    <row r="59" customFormat="false" ht="15" hidden="false" customHeight="false" outlineLevel="0" collapsed="false">
      <c r="A59" s="8" t="n">
        <v>46379</v>
      </c>
      <c r="B59" s="9" t="n">
        <f aca="false">INT((A59-$A$5)/7)+1</f>
        <v>8</v>
      </c>
      <c r="C59" s="9" t="s">
        <v>42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1" t="str">
        <f aca="false">IF(COUNTA(D59:Q59)=0,"",COUNTIF(D59:Q59,"✅")/14)</f>
        <v/>
      </c>
      <c r="U59" s="12"/>
      <c r="V59" s="12"/>
    </row>
    <row r="60" customFormat="false" ht="15" hidden="false" customHeight="false" outlineLevel="0" collapsed="false">
      <c r="A60" s="8" t="n">
        <v>46380</v>
      </c>
      <c r="B60" s="9" t="n">
        <f aca="false">INT((A60-$A$5)/7)+1</f>
        <v>8</v>
      </c>
      <c r="C60" s="9" t="s">
        <v>43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1" t="str">
        <f aca="false">IF(COUNTA(D60:Q60)=0,"",COUNTIF(D60:Q60,"✅")/14)</f>
        <v/>
      </c>
      <c r="U60" s="12"/>
      <c r="V60" s="12"/>
    </row>
    <row r="61" customFormat="false" ht="15" hidden="false" customHeight="false" outlineLevel="0" collapsed="false">
      <c r="A61" s="8" t="n">
        <v>46381</v>
      </c>
      <c r="B61" s="9" t="n">
        <f aca="false">INT((A61-$A$5)/7)+1</f>
        <v>9</v>
      </c>
      <c r="C61" s="9" t="s">
        <v>37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1" t="str">
        <f aca="false">IF(COUNTA(D61:Q61)=0,"",COUNTIF(D61:Q61,"✅")/14)</f>
        <v/>
      </c>
      <c r="U61" s="12"/>
      <c r="V61" s="12"/>
    </row>
    <row r="62" customFormat="false" ht="15" hidden="false" customHeight="false" outlineLevel="0" collapsed="false">
      <c r="A62" s="8" t="n">
        <v>46382</v>
      </c>
      <c r="B62" s="9" t="n">
        <f aca="false">INT((A62-$A$5)/7)+1</f>
        <v>9</v>
      </c>
      <c r="C62" s="9" t="s">
        <v>38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1" t="str">
        <f aca="false">IF(COUNTA(D62:Q62)=0,"",COUNTIF(D62:Q62,"✅")/14)</f>
        <v/>
      </c>
      <c r="U62" s="12"/>
      <c r="V62" s="12"/>
    </row>
    <row r="63" customFormat="false" ht="15" hidden="false" customHeight="false" outlineLevel="0" collapsed="false">
      <c r="A63" s="13" t="n">
        <v>46383</v>
      </c>
      <c r="B63" s="14" t="n">
        <f aca="false">INT((A63-$A$5)/7)+1</f>
        <v>9</v>
      </c>
      <c r="C63" s="14" t="s">
        <v>39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1" t="str">
        <f aca="false">IF(COUNTA(D63:Q63)=0,"",COUNTIF(D63:Q63,"✅")/14)</f>
        <v/>
      </c>
      <c r="U63" s="12"/>
      <c r="V63" s="12"/>
    </row>
    <row r="64" customFormat="false" ht="15" hidden="false" customHeight="false" outlineLevel="0" collapsed="false">
      <c r="A64" s="8" t="n">
        <v>46384</v>
      </c>
      <c r="B64" s="9" t="n">
        <f aca="false">INT((A64-$A$5)/7)+1</f>
        <v>9</v>
      </c>
      <c r="C64" s="9" t="s">
        <v>40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1" t="str">
        <f aca="false">IF(COUNTA(D64:Q64)=0,"",COUNTIF(D64:Q64,"✅")/14)</f>
        <v/>
      </c>
      <c r="U64" s="12"/>
      <c r="V64" s="12"/>
    </row>
    <row r="65" customFormat="false" ht="15" hidden="false" customHeight="false" outlineLevel="0" collapsed="false">
      <c r="A65" s="8" t="n">
        <v>46385</v>
      </c>
      <c r="B65" s="9" t="n">
        <f aca="false">INT((A65-$A$5)/7)+1</f>
        <v>9</v>
      </c>
      <c r="C65" s="9" t="s">
        <v>41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1" t="str">
        <f aca="false">IF(COUNTA(D65:Q65)=0,"",COUNTIF(D65:Q65,"✅")/14)</f>
        <v/>
      </c>
      <c r="U65" s="12"/>
      <c r="V65" s="12"/>
    </row>
    <row r="66" customFormat="false" ht="15" hidden="false" customHeight="false" outlineLevel="0" collapsed="false">
      <c r="A66" s="8" t="n">
        <v>46386</v>
      </c>
      <c r="B66" s="9" t="n">
        <f aca="false">INT((A66-$A$5)/7)+1</f>
        <v>9</v>
      </c>
      <c r="C66" s="9" t="s">
        <v>42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1" t="str">
        <f aca="false">IF(COUNTA(D66:Q66)=0,"",COUNTIF(D66:Q66,"✅")/14)</f>
        <v/>
      </c>
      <c r="U66" s="12"/>
      <c r="V66" s="12"/>
    </row>
    <row r="67" customFormat="false" ht="15" hidden="false" customHeight="false" outlineLevel="0" collapsed="false">
      <c r="A67" s="8" t="n">
        <v>46387</v>
      </c>
      <c r="B67" s="9" t="n">
        <f aca="false">INT((A67-$A$5)/7)+1</f>
        <v>9</v>
      </c>
      <c r="C67" s="9" t="s">
        <v>43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1" t="str">
        <f aca="false">IF(COUNTA(D67:Q67)=0,"",COUNTIF(D67:Q67,"✅")/14)</f>
        <v/>
      </c>
      <c r="U67" s="12"/>
      <c r="V67" s="12"/>
    </row>
  </sheetData>
  <mergeCells count="2">
    <mergeCell ref="A1:V1"/>
    <mergeCell ref="A2:V2"/>
  </mergeCells>
  <conditionalFormatting sqref="D5:S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T5:T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R5:R67">
    <cfRule type="expression" priority="5" aboveAverage="0" equalAverage="0" bottom="0" percent="0" rank="0" text="" dxfId="0">
      <formula>AND(R5&lt;&gt;"",R5&gt;=2)</formula>
    </cfRule>
    <cfRule type="expression" priority="6" aboveAverage="0" equalAverage="0" bottom="0" percent="0" rank="0" text="" dxfId="1">
      <formula>AND(R5&lt;&gt;"",R5&lt;2)</formula>
    </cfRule>
  </conditionalFormatting>
  <conditionalFormatting sqref="S5:S67">
    <cfRule type="expression" priority="7" aboveAverage="0" equalAverage="0" bottom="0" percent="0" rank="0" text="" dxfId="0">
      <formula>AND(S5&lt;&gt;"",S5&gt;=15)</formula>
    </cfRule>
    <cfRule type="expression" priority="8" aboveAverage="0" equalAverage="0" bottom="0" percent="0" rank="0" text="" dxfId="1">
      <formula>AND(S5&lt;&gt;"",S5&lt;15)</formula>
    </cfRule>
  </conditionalFormatting>
  <dataValidations count="2">
    <dataValidation allowBlank="true" errorStyle="stop" operator="between" showDropDown="false" showErrorMessage="false" showInputMessage="false" sqref="D5:Q67" type="list">
      <formula1>"✅,❌"</formula1>
      <formula2>0</formula2>
    </dataValidation>
    <dataValidation allowBlank="true" errorStyle="stop" operator="between" showDropDown="false" showErrorMessage="false" showInputMessage="false" sqref="R5:S67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7" min="4" style="0" width="13"/>
  </cols>
  <sheetData>
    <row r="1" customFormat="false" ht="27.75" hidden="false" customHeight="true" outlineLevel="0" collapsed="false">
      <c r="A1" s="5" t="s">
        <v>44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45</v>
      </c>
      <c r="B2" s="6"/>
      <c r="C2" s="6"/>
      <c r="D2" s="6"/>
      <c r="E2" s="6"/>
      <c r="F2" s="6"/>
      <c r="G2" s="6"/>
    </row>
    <row r="4" customFormat="false" ht="42" hidden="false" customHeight="true" outlineLevel="0" collapsed="false">
      <c r="A4" s="15" t="s">
        <v>16</v>
      </c>
      <c r="B4" s="15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5" t="s">
        <v>51</v>
      </c>
    </row>
    <row r="5" customFormat="false" ht="15" hidden="false" customHeight="false" outlineLevel="0" collapsed="false">
      <c r="A5" s="16" t="n">
        <v>1</v>
      </c>
      <c r="B5" s="17" t="n">
        <v>46325</v>
      </c>
      <c r="C5" s="17" t="n">
        <v>46331</v>
      </c>
      <c r="D5" s="11" t="str">
        <f aca="false">IFERROR(AVERAGEIFS('Чек-лист'!$T$5:$T$67,'Чек-лист'!$B$5:$B$67,$A5),"")</f>
        <v/>
      </c>
      <c r="E5" s="18" t="n">
        <f aca="false">SUMPRODUCT(('Чек-лист'!$B$5:$B$67=$A5)*('Чек-лист'!$D$5:$H$67="✅"))</f>
        <v>0</v>
      </c>
      <c r="F5" s="18" t="n">
        <f aca="false">SUMIFS('Чек-лист'!$R$5:$R$67,'Чек-лист'!$B$5:$B$67,$A5)</f>
        <v>0</v>
      </c>
      <c r="G5" s="18" t="n">
        <f aca="false">SUMIFS('Чек-лист'!$S$5:$S$67,'Чек-лист'!$B$5:$B$67,$A5)</f>
        <v>0</v>
      </c>
    </row>
    <row r="6" customFormat="false" ht="15" hidden="false" customHeight="false" outlineLevel="0" collapsed="false">
      <c r="A6" s="16" t="n">
        <v>2</v>
      </c>
      <c r="B6" s="17" t="n">
        <v>46332</v>
      </c>
      <c r="C6" s="17" t="n">
        <v>46338</v>
      </c>
      <c r="D6" s="11" t="str">
        <f aca="false">IFERROR(AVERAGEIFS('Чек-лист'!$T$5:$T$67,'Чек-лист'!$B$5:$B$67,$A6),"")</f>
        <v/>
      </c>
      <c r="E6" s="18" t="n">
        <f aca="false">SUMPRODUCT(('Чек-лист'!$B$5:$B$67=$A6)*('Чек-лист'!$D$5:$H$67="✅"))</f>
        <v>0</v>
      </c>
      <c r="F6" s="18" t="n">
        <f aca="false">SUMIFS('Чек-лист'!$R$5:$R$67,'Чек-лист'!$B$5:$B$67,$A6)</f>
        <v>0</v>
      </c>
      <c r="G6" s="18" t="n">
        <f aca="false">SUMIFS('Чек-лист'!$S$5:$S$67,'Чек-лист'!$B$5:$B$67,$A6)</f>
        <v>0</v>
      </c>
    </row>
    <row r="7" customFormat="false" ht="15" hidden="false" customHeight="false" outlineLevel="0" collapsed="false">
      <c r="A7" s="16" t="n">
        <v>3</v>
      </c>
      <c r="B7" s="17" t="n">
        <v>46339</v>
      </c>
      <c r="C7" s="17" t="n">
        <v>46345</v>
      </c>
      <c r="D7" s="11" t="str">
        <f aca="false">IFERROR(AVERAGEIFS('Чек-лист'!$T$5:$T$67,'Чек-лист'!$B$5:$B$67,$A7),"")</f>
        <v/>
      </c>
      <c r="E7" s="18" t="n">
        <f aca="false">SUMPRODUCT(('Чек-лист'!$B$5:$B$67=$A7)*('Чек-лист'!$D$5:$H$67="✅"))</f>
        <v>0</v>
      </c>
      <c r="F7" s="18" t="n">
        <f aca="false">SUMIFS('Чек-лист'!$R$5:$R$67,'Чек-лист'!$B$5:$B$67,$A7)</f>
        <v>0</v>
      </c>
      <c r="G7" s="18" t="n">
        <f aca="false">SUMIFS('Чек-лист'!$S$5:$S$67,'Чек-лист'!$B$5:$B$67,$A7)</f>
        <v>0</v>
      </c>
    </row>
    <row r="8" customFormat="false" ht="15" hidden="false" customHeight="false" outlineLevel="0" collapsed="false">
      <c r="A8" s="16" t="n">
        <v>4</v>
      </c>
      <c r="B8" s="17" t="n">
        <v>46346</v>
      </c>
      <c r="C8" s="17" t="n">
        <v>46352</v>
      </c>
      <c r="D8" s="11" t="str">
        <f aca="false">IFERROR(AVERAGEIFS('Чек-лист'!$T$5:$T$67,'Чек-лист'!$B$5:$B$67,$A8),"")</f>
        <v/>
      </c>
      <c r="E8" s="18" t="n">
        <f aca="false">SUMPRODUCT(('Чек-лист'!$B$5:$B$67=$A8)*('Чек-лист'!$D$5:$H$67="✅"))</f>
        <v>0</v>
      </c>
      <c r="F8" s="18" t="n">
        <f aca="false">SUMIFS('Чек-лист'!$R$5:$R$67,'Чек-лист'!$B$5:$B$67,$A8)</f>
        <v>0</v>
      </c>
      <c r="G8" s="18" t="n">
        <f aca="false">SUMIFS('Чек-лист'!$S$5:$S$67,'Чек-лист'!$B$5:$B$67,$A8)</f>
        <v>0</v>
      </c>
    </row>
    <row r="9" customFormat="false" ht="15" hidden="false" customHeight="false" outlineLevel="0" collapsed="false">
      <c r="A9" s="16" t="n">
        <v>5</v>
      </c>
      <c r="B9" s="17" t="n">
        <v>46353</v>
      </c>
      <c r="C9" s="17" t="n">
        <v>46359</v>
      </c>
      <c r="D9" s="11" t="str">
        <f aca="false">IFERROR(AVERAGEIFS('Чек-лист'!$T$5:$T$67,'Чек-лист'!$B$5:$B$67,$A9),"")</f>
        <v/>
      </c>
      <c r="E9" s="18" t="n">
        <f aca="false">SUMPRODUCT(('Чек-лист'!$B$5:$B$67=$A9)*('Чек-лист'!$D$5:$H$67="✅"))</f>
        <v>0</v>
      </c>
      <c r="F9" s="18" t="n">
        <f aca="false">SUMIFS('Чек-лист'!$R$5:$R$67,'Чек-лист'!$B$5:$B$67,$A9)</f>
        <v>0</v>
      </c>
      <c r="G9" s="18" t="n">
        <f aca="false">SUMIFS('Чек-лист'!$S$5:$S$67,'Чек-лист'!$B$5:$B$67,$A9)</f>
        <v>0</v>
      </c>
    </row>
    <row r="10" customFormat="false" ht="15" hidden="false" customHeight="false" outlineLevel="0" collapsed="false">
      <c r="A10" s="16" t="n">
        <v>6</v>
      </c>
      <c r="B10" s="17" t="n">
        <v>46360</v>
      </c>
      <c r="C10" s="17" t="n">
        <v>46366</v>
      </c>
      <c r="D10" s="11" t="str">
        <f aca="false">IFERROR(AVERAGEIFS('Чек-лист'!$T$5:$T$67,'Чек-лист'!$B$5:$B$67,$A10),"")</f>
        <v/>
      </c>
      <c r="E10" s="18" t="n">
        <f aca="false">SUMPRODUCT(('Чек-лист'!$B$5:$B$67=$A10)*('Чек-лист'!$D$5:$H$67="✅"))</f>
        <v>0</v>
      </c>
      <c r="F10" s="18" t="n">
        <f aca="false">SUMIFS('Чек-лист'!$R$5:$R$67,'Чек-лист'!$B$5:$B$67,$A10)</f>
        <v>0</v>
      </c>
      <c r="G10" s="18" t="n">
        <f aca="false">SUMIFS('Чек-лист'!$S$5:$S$67,'Чек-лист'!$B$5:$B$67,$A10)</f>
        <v>0</v>
      </c>
    </row>
    <row r="11" customFormat="false" ht="15" hidden="false" customHeight="false" outlineLevel="0" collapsed="false">
      <c r="A11" s="16" t="n">
        <v>7</v>
      </c>
      <c r="B11" s="17" t="n">
        <v>46367</v>
      </c>
      <c r="C11" s="17" t="n">
        <v>46373</v>
      </c>
      <c r="D11" s="11" t="str">
        <f aca="false">IFERROR(AVERAGEIFS('Чек-лист'!$T$5:$T$67,'Чек-лист'!$B$5:$B$67,$A11),"")</f>
        <v/>
      </c>
      <c r="E11" s="18" t="n">
        <f aca="false">SUMPRODUCT(('Чек-лист'!$B$5:$B$67=$A11)*('Чек-лист'!$D$5:$H$67="✅"))</f>
        <v>0</v>
      </c>
      <c r="F11" s="18" t="n">
        <f aca="false">SUMIFS('Чек-лист'!$R$5:$R$67,'Чек-лист'!$B$5:$B$67,$A11)</f>
        <v>0</v>
      </c>
      <c r="G11" s="18" t="n">
        <f aca="false">SUMIFS('Чек-лист'!$S$5:$S$67,'Чек-лист'!$B$5:$B$67,$A11)</f>
        <v>0</v>
      </c>
    </row>
    <row r="12" customFormat="false" ht="15" hidden="false" customHeight="false" outlineLevel="0" collapsed="false">
      <c r="A12" s="16" t="n">
        <v>8</v>
      </c>
      <c r="B12" s="17" t="n">
        <v>46374</v>
      </c>
      <c r="C12" s="17" t="n">
        <v>46380</v>
      </c>
      <c r="D12" s="11" t="str">
        <f aca="false">IFERROR(AVERAGEIFS('Чек-лист'!$T$5:$T$67,'Чек-лист'!$B$5:$B$67,$A12),"")</f>
        <v/>
      </c>
      <c r="E12" s="18" t="n">
        <f aca="false">SUMPRODUCT(('Чек-лист'!$B$5:$B$67=$A12)*('Чек-лист'!$D$5:$H$67="✅"))</f>
        <v>0</v>
      </c>
      <c r="F12" s="18" t="n">
        <f aca="false">SUMIFS('Чек-лист'!$R$5:$R$67,'Чек-лист'!$B$5:$B$67,$A12)</f>
        <v>0</v>
      </c>
      <c r="G12" s="18" t="n">
        <f aca="false">SUMIFS('Чек-лист'!$S$5:$S$67,'Чек-лист'!$B$5:$B$67,$A12)</f>
        <v>0</v>
      </c>
    </row>
    <row r="13" customFormat="false" ht="15" hidden="false" customHeight="false" outlineLevel="0" collapsed="false">
      <c r="A13" s="16" t="n">
        <v>9</v>
      </c>
      <c r="B13" s="17" t="n">
        <v>46381</v>
      </c>
      <c r="C13" s="17" t="n">
        <v>46387</v>
      </c>
      <c r="D13" s="11" t="str">
        <f aca="false">IFERROR(AVERAGEIFS('Чек-лист'!$T$5:$T$67,'Чек-лист'!$B$5:$B$67,$A13),"")</f>
        <v/>
      </c>
      <c r="E13" s="18" t="n">
        <f aca="false">SUMPRODUCT(('Чек-лист'!$B$5:$B$67=$A13)*('Чек-лист'!$D$5:$H$67="✅"))</f>
        <v>0</v>
      </c>
      <c r="F13" s="18" t="n">
        <f aca="false">SUMIFS('Чек-лист'!$R$5:$R$67,'Чек-лист'!$B$5:$B$67,$A13)</f>
        <v>0</v>
      </c>
      <c r="G13" s="18" t="n">
        <f aca="false">SUMIFS('Чек-лист'!$S$5:$S$67,'Чек-лист'!$B$5:$B$67,$A13)</f>
        <v>0</v>
      </c>
    </row>
  </sheetData>
  <mergeCells count="2">
    <mergeCell ref="A1:G1"/>
    <mergeCell ref="A2:G2"/>
  </mergeCells>
  <conditionalFormatting sqref="D5:G13">
    <cfRule type="colorScale" priority="2">
      <colorScale>
        <cfvo type="min" val="0"/>
        <cfvo type="max" val="0"/>
        <color rgb="FFFFFFFF"/>
        <color rgb="FFA9D8B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34"/>
    <col collapsed="false" customWidth="true" hidden="false" outlineLevel="0" max="9" min="9" style="0" width="9"/>
  </cols>
  <sheetData>
    <row r="1" customFormat="false" ht="27.75" hidden="false" customHeight="true" outlineLevel="0" collapsed="false">
      <c r="A1" s="5" t="s">
        <v>52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53</v>
      </c>
      <c r="B2" s="6"/>
      <c r="C2" s="6"/>
      <c r="D2" s="6"/>
      <c r="E2" s="6"/>
      <c r="F2" s="6"/>
      <c r="G2" s="6"/>
      <c r="H2" s="6"/>
      <c r="I2" s="6"/>
    </row>
    <row r="4" customFormat="false" ht="42" hidden="false" customHeight="true" outlineLevel="0" collapsed="false">
      <c r="A4" s="15" t="s">
        <v>15</v>
      </c>
      <c r="B4" s="15" t="s">
        <v>54</v>
      </c>
      <c r="C4" s="15" t="s">
        <v>55</v>
      </c>
      <c r="D4" s="15" t="s">
        <v>56</v>
      </c>
      <c r="E4" s="15" t="s">
        <v>57</v>
      </c>
      <c r="F4" s="15" t="s">
        <v>58</v>
      </c>
      <c r="G4" s="15" t="s">
        <v>59</v>
      </c>
      <c r="H4" s="15" t="s">
        <v>60</v>
      </c>
      <c r="I4" s="15" t="s">
        <v>61</v>
      </c>
    </row>
    <row r="5" customFormat="false" ht="45" hidden="false" customHeight="true" outlineLevel="0" collapsed="false">
      <c r="A5" s="19" t="n">
        <v>46325</v>
      </c>
      <c r="B5" s="12" t="s">
        <v>62</v>
      </c>
      <c r="C5" s="12" t="s">
        <v>63</v>
      </c>
      <c r="D5" s="19" t="n">
        <v>46325</v>
      </c>
      <c r="E5" s="12"/>
      <c r="F5" s="12"/>
      <c r="G5" s="12"/>
      <c r="H5" s="12"/>
      <c r="I5" s="12"/>
    </row>
    <row r="6" customFormat="false" ht="45" hidden="false" customHeight="true" outlineLevel="0" collapsed="false">
      <c r="A6" s="19" t="n">
        <v>46327</v>
      </c>
      <c r="B6" s="12" t="s">
        <v>64</v>
      </c>
      <c r="C6" s="12" t="s">
        <v>65</v>
      </c>
      <c r="D6" s="19" t="n">
        <v>46329</v>
      </c>
      <c r="E6" s="12"/>
      <c r="F6" s="12"/>
      <c r="G6" s="12"/>
      <c r="H6" s="12"/>
      <c r="I6" s="12"/>
    </row>
    <row r="7" customFormat="false" ht="45" hidden="false" customHeight="true" outlineLevel="0" collapsed="false">
      <c r="A7" s="19" t="n">
        <v>46329</v>
      </c>
      <c r="B7" s="12" t="s">
        <v>66</v>
      </c>
      <c r="C7" s="12" t="s">
        <v>67</v>
      </c>
      <c r="D7" s="19" t="n">
        <v>46331</v>
      </c>
      <c r="E7" s="12"/>
      <c r="F7" s="12"/>
      <c r="G7" s="12"/>
      <c r="H7" s="12"/>
      <c r="I7" s="12"/>
    </row>
    <row r="8" customFormat="false" ht="45" hidden="false" customHeight="true" outlineLevel="0" collapsed="false">
      <c r="A8" s="19" t="n">
        <v>46331</v>
      </c>
      <c r="B8" s="12" t="s">
        <v>68</v>
      </c>
      <c r="C8" s="12" t="s">
        <v>69</v>
      </c>
      <c r="D8" s="19" t="n">
        <v>46333</v>
      </c>
      <c r="E8" s="12"/>
      <c r="F8" s="12"/>
      <c r="G8" s="12"/>
      <c r="H8" s="12"/>
      <c r="I8" s="12"/>
    </row>
    <row r="9" customFormat="false" ht="45" hidden="false" customHeight="true" outlineLevel="0" collapsed="false">
      <c r="A9" s="19" t="n">
        <v>46334</v>
      </c>
      <c r="B9" s="12" t="s">
        <v>70</v>
      </c>
      <c r="C9" s="12" t="s">
        <v>71</v>
      </c>
      <c r="D9" s="19" t="n">
        <v>46334</v>
      </c>
      <c r="E9" s="12"/>
      <c r="F9" s="12"/>
      <c r="G9" s="12"/>
      <c r="H9" s="12"/>
      <c r="I9" s="12"/>
    </row>
    <row r="10" customFormat="false" ht="45" hidden="false" customHeight="true" outlineLevel="0" collapsed="false">
      <c r="A10" s="19" t="n">
        <v>46336</v>
      </c>
      <c r="B10" s="12" t="s">
        <v>72</v>
      </c>
      <c r="C10" s="12" t="s">
        <v>73</v>
      </c>
      <c r="D10" s="19" t="n">
        <v>46338</v>
      </c>
      <c r="E10" s="12"/>
      <c r="F10" s="12"/>
      <c r="G10" s="12"/>
      <c r="H10" s="12"/>
      <c r="I10" s="12"/>
    </row>
    <row r="11" customFormat="false" ht="45" hidden="false" customHeight="true" outlineLevel="0" collapsed="false">
      <c r="A11" s="19" t="n">
        <v>46339</v>
      </c>
      <c r="B11" s="12" t="s">
        <v>74</v>
      </c>
      <c r="C11" s="12" t="s">
        <v>75</v>
      </c>
      <c r="D11" s="19" t="n">
        <v>46340</v>
      </c>
      <c r="E11" s="12"/>
      <c r="F11" s="12"/>
      <c r="G11" s="12"/>
      <c r="H11" s="12"/>
      <c r="I11" s="12"/>
    </row>
    <row r="12" customFormat="false" ht="4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4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</row>
    <row r="14" customFormat="false" ht="4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4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</row>
    <row r="16" customFormat="false" ht="4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4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</row>
    <row r="18" customFormat="false" ht="4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4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</row>
    <row r="20" customFormat="false" ht="4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4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</row>
    <row r="22" customFormat="false" ht="4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4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</row>
    <row r="24" customFormat="false" ht="4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4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</row>
    <row r="26" customFormat="false" ht="4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4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  <row r="28" customFormat="false" ht="4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4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</row>
    <row r="30" customFormat="false" ht="4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  <row r="31" customFormat="false" ht="45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</row>
    <row r="32" customFormat="false" ht="4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</row>
    <row r="33" customFormat="false" ht="4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</row>
    <row r="34" customFormat="false" ht="4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</row>
    <row r="35" customFormat="false" ht="45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</row>
    <row r="36" customFormat="false" ht="4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</row>
    <row r="39" customFormat="false" ht="15" hidden="false" customHeight="false" outlineLevel="0" collapsed="false">
      <c r="A39" s="20" t="s">
        <v>76</v>
      </c>
      <c r="B39" s="0" t="str">
        <f aca="false">COUNTIF(G5:G36,"✅")&amp;" из "&amp;COUNTA(B5:B36)</f>
        <v>0 из 7</v>
      </c>
    </row>
    <row r="40" customFormat="false" ht="15" hidden="false" customHeight="false" outlineLevel="0" collapsed="false">
      <c r="A40" s="20" t="s">
        <v>77</v>
      </c>
      <c r="B40" s="0" t="str">
        <f aca="false">IFERROR(ROUND(AVERAGE(I5:I36),1),"—")</f>
        <v>—</v>
      </c>
    </row>
  </sheetData>
  <mergeCells count="2">
    <mergeCell ref="A1:I1"/>
    <mergeCell ref="A2:I2"/>
  </mergeCells>
  <conditionalFormatting sqref="G5:G36">
    <cfRule type="cellIs" priority="2" operator="equal" aboveAverage="0" equalAverage="0" bottom="0" percent="0" rank="0" text="" dxfId="0">
      <formula>"✅"</formula>
    </cfRule>
  </conditionalFormatting>
  <dataValidations count="2">
    <dataValidation allowBlank="true" errorStyle="stop" operator="between" showDropDown="false" showErrorMessage="false" showInputMessage="false" sqref="G5:G36" type="list">
      <formula1>"✅,❌"</formula1>
      <formula2>0</formula2>
    </dataValidation>
    <dataValidation allowBlank="true" errorStyle="stop" operator="between" showDropDown="false" showErrorMessage="false" showInputMessage="false" sqref="I5:I3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5" t="s">
        <v>78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79</v>
      </c>
      <c r="B2" s="6"/>
      <c r="C2" s="6"/>
      <c r="D2" s="6"/>
      <c r="E2" s="6"/>
      <c r="F2" s="6"/>
    </row>
    <row r="4" customFormat="false" ht="42" hidden="false" customHeight="true" outlineLevel="0" collapsed="false">
      <c r="A4" s="7" t="s">
        <v>80</v>
      </c>
      <c r="B4" s="7" t="s">
        <v>56</v>
      </c>
      <c r="C4" s="7" t="s">
        <v>81</v>
      </c>
      <c r="D4" s="7" t="s">
        <v>82</v>
      </c>
      <c r="E4" s="7" t="s">
        <v>83</v>
      </c>
      <c r="F4" s="7" t="s">
        <v>84</v>
      </c>
    </row>
    <row r="5" customFormat="false" ht="23.85" hidden="false" customHeight="false" outlineLevel="0" collapsed="false">
      <c r="A5" s="21" t="s">
        <v>85</v>
      </c>
      <c r="B5" s="21" t="s">
        <v>86</v>
      </c>
      <c r="C5" s="22" t="s">
        <v>87</v>
      </c>
      <c r="D5" s="22" t="s">
        <v>88</v>
      </c>
      <c r="E5" s="22" t="s">
        <v>89</v>
      </c>
      <c r="F5" s="22" t="s">
        <v>90</v>
      </c>
    </row>
    <row r="6" customFormat="false" ht="15" hidden="false" customHeight="false" outlineLevel="0" collapsed="false">
      <c r="A6" s="21" t="s">
        <v>85</v>
      </c>
      <c r="B6" s="21" t="s">
        <v>86</v>
      </c>
      <c r="C6" s="12"/>
      <c r="D6" s="12"/>
      <c r="E6" s="12"/>
      <c r="F6" s="12"/>
    </row>
    <row r="7" customFormat="false" ht="15" hidden="false" customHeight="false" outlineLevel="0" collapsed="false">
      <c r="A7" s="21" t="s">
        <v>85</v>
      </c>
      <c r="B7" s="21" t="s">
        <v>86</v>
      </c>
      <c r="C7" s="12"/>
      <c r="D7" s="12"/>
      <c r="E7" s="12"/>
      <c r="F7" s="12"/>
    </row>
    <row r="8" customFormat="false" ht="15" hidden="false" customHeight="false" outlineLevel="0" collapsed="false">
      <c r="A8" s="21" t="s">
        <v>85</v>
      </c>
      <c r="B8" s="21" t="s">
        <v>91</v>
      </c>
      <c r="C8" s="12"/>
      <c r="D8" s="12"/>
      <c r="E8" s="12"/>
      <c r="F8" s="12"/>
    </row>
    <row r="9" customFormat="false" ht="15" hidden="false" customHeight="false" outlineLevel="0" collapsed="false">
      <c r="A9" s="21" t="s">
        <v>85</v>
      </c>
      <c r="B9" s="21" t="s">
        <v>91</v>
      </c>
      <c r="C9" s="12"/>
      <c r="D9" s="12"/>
      <c r="E9" s="12"/>
      <c r="F9" s="12"/>
    </row>
    <row r="10" customFormat="false" ht="15" hidden="false" customHeight="false" outlineLevel="0" collapsed="false">
      <c r="A10" s="21" t="s">
        <v>85</v>
      </c>
      <c r="B10" s="21" t="s">
        <v>91</v>
      </c>
      <c r="C10" s="12"/>
      <c r="D10" s="12"/>
      <c r="E10" s="12"/>
      <c r="F10" s="12"/>
    </row>
    <row r="11" customFormat="false" ht="15" hidden="false" customHeight="false" outlineLevel="0" collapsed="false">
      <c r="A11" s="21" t="s">
        <v>85</v>
      </c>
      <c r="B11" s="21" t="s">
        <v>91</v>
      </c>
      <c r="C11" s="12"/>
      <c r="D11" s="12"/>
      <c r="E11" s="12"/>
      <c r="F11" s="12"/>
    </row>
    <row r="12" customFormat="false" ht="15" hidden="false" customHeight="false" outlineLevel="0" collapsed="false">
      <c r="A12" s="21" t="s">
        <v>85</v>
      </c>
      <c r="B12" s="21" t="s">
        <v>91</v>
      </c>
      <c r="C12" s="12"/>
      <c r="D12" s="12"/>
      <c r="E12" s="12"/>
      <c r="F12" s="12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F5:F12" type="list">
      <formula1>"Не начато,В процессе,Готово ✅,Провал"</formula1>
      <formula2>0</formula2>
    </dataValidation>
    <dataValidation allowBlank="true" errorStyle="stop" operator="between" showDropDown="false" showErrorMessage="false" showInputMessage="false" sqref="C5:C12" type="list">
      <formula1>"Религия,Учёба,Тело,Развитие,Финансы,Характер,Проект"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5" t="s">
        <v>92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93</v>
      </c>
      <c r="B2" s="6"/>
      <c r="C2" s="6"/>
      <c r="D2" s="6"/>
      <c r="E2" s="6"/>
      <c r="F2" s="6"/>
      <c r="G2" s="6"/>
    </row>
    <row r="4" customFormat="false" ht="42" hidden="false" customHeight="true" outlineLevel="0" collapsed="false">
      <c r="A4" s="15" t="s">
        <v>94</v>
      </c>
      <c r="B4" s="15" t="s">
        <v>95</v>
      </c>
      <c r="C4" s="15" t="s">
        <v>96</v>
      </c>
      <c r="D4" s="15" t="s">
        <v>97</v>
      </c>
      <c r="E4" s="15" t="s">
        <v>98</v>
      </c>
      <c r="F4" s="15" t="s">
        <v>85</v>
      </c>
      <c r="G4" s="15" t="s">
        <v>99</v>
      </c>
    </row>
    <row r="5" customFormat="false" ht="23.85" hidden="false" customHeight="false" outlineLevel="0" collapsed="false">
      <c r="A5" s="23" t="s">
        <v>100</v>
      </c>
      <c r="B5" s="23" t="s">
        <v>101</v>
      </c>
      <c r="C5" s="23" t="s">
        <v>102</v>
      </c>
      <c r="D5" s="23" t="s">
        <v>103</v>
      </c>
      <c r="E5" s="23" t="s">
        <v>104</v>
      </c>
      <c r="F5" s="12"/>
      <c r="G5" s="12"/>
    </row>
    <row r="6" customFormat="false" ht="23.85" hidden="false" customHeight="false" outlineLevel="0" collapsed="false">
      <c r="A6" s="23" t="s">
        <v>100</v>
      </c>
      <c r="B6" s="23" t="s">
        <v>105</v>
      </c>
      <c r="C6" s="23" t="s">
        <v>102</v>
      </c>
      <c r="D6" s="23" t="s">
        <v>106</v>
      </c>
      <c r="E6" s="23" t="s">
        <v>104</v>
      </c>
      <c r="F6" s="12"/>
      <c r="G6" s="12"/>
    </row>
    <row r="7" customFormat="false" ht="15" hidden="false" customHeight="false" outlineLevel="0" collapsed="false">
      <c r="A7" s="23" t="s">
        <v>100</v>
      </c>
      <c r="B7" s="23" t="s">
        <v>107</v>
      </c>
      <c r="C7" s="23" t="s">
        <v>108</v>
      </c>
      <c r="D7" s="23" t="s">
        <v>109</v>
      </c>
      <c r="E7" s="23" t="s">
        <v>104</v>
      </c>
      <c r="F7" s="12"/>
      <c r="G7" s="12"/>
    </row>
    <row r="8" customFormat="false" ht="15" hidden="false" customHeight="false" outlineLevel="0" collapsed="false">
      <c r="A8" s="23" t="s">
        <v>100</v>
      </c>
      <c r="B8" s="23" t="s">
        <v>110</v>
      </c>
      <c r="C8" s="23" t="s">
        <v>108</v>
      </c>
      <c r="D8" s="23" t="s">
        <v>111</v>
      </c>
      <c r="E8" s="23" t="s">
        <v>104</v>
      </c>
      <c r="F8" s="12"/>
      <c r="G8" s="12"/>
    </row>
    <row r="9" customFormat="false" ht="15" hidden="false" customHeight="false" outlineLevel="0" collapsed="false">
      <c r="A9" s="23" t="s">
        <v>100</v>
      </c>
      <c r="B9" s="23" t="s">
        <v>112</v>
      </c>
      <c r="C9" s="23" t="s">
        <v>113</v>
      </c>
      <c r="D9" s="23" t="s">
        <v>114</v>
      </c>
      <c r="E9" s="23" t="s">
        <v>104</v>
      </c>
      <c r="F9" s="12"/>
      <c r="G9" s="12"/>
    </row>
    <row r="10" customFormat="false" ht="23.85" hidden="false" customHeight="false" outlineLevel="0" collapsed="false">
      <c r="A10" s="23" t="s">
        <v>115</v>
      </c>
      <c r="B10" s="23" t="s">
        <v>116</v>
      </c>
      <c r="C10" s="23" t="s">
        <v>65</v>
      </c>
      <c r="D10" s="23" t="s">
        <v>117</v>
      </c>
      <c r="E10" s="23" t="s">
        <v>104</v>
      </c>
      <c r="F10" s="12"/>
      <c r="G10" s="12"/>
    </row>
    <row r="11" customFormat="false" ht="15" hidden="false" customHeight="false" outlineLevel="0" collapsed="false">
      <c r="A11" s="23" t="s">
        <v>115</v>
      </c>
      <c r="B11" s="23" t="s">
        <v>118</v>
      </c>
      <c r="C11" s="23" t="s">
        <v>119</v>
      </c>
      <c r="D11" s="23" t="s">
        <v>120</v>
      </c>
      <c r="E11" s="23" t="s">
        <v>104</v>
      </c>
      <c r="F11" s="12"/>
      <c r="G11" s="12"/>
    </row>
    <row r="12" customFormat="false" ht="15" hidden="false" customHeight="false" outlineLevel="0" collapsed="false">
      <c r="A12" s="23" t="s">
        <v>121</v>
      </c>
      <c r="B12" s="23" t="s">
        <v>122</v>
      </c>
      <c r="C12" s="23" t="s">
        <v>123</v>
      </c>
      <c r="D12" s="23" t="s">
        <v>124</v>
      </c>
      <c r="E12" s="23" t="s">
        <v>104</v>
      </c>
      <c r="F12" s="12"/>
      <c r="G12" s="12"/>
    </row>
    <row r="13" customFormat="false" ht="15" hidden="false" customHeight="false" outlineLevel="0" collapsed="false">
      <c r="A13" s="23" t="s">
        <v>125</v>
      </c>
      <c r="B13" s="23" t="s">
        <v>126</v>
      </c>
      <c r="C13" s="23" t="s">
        <v>127</v>
      </c>
      <c r="D13" s="23" t="s">
        <v>128</v>
      </c>
      <c r="E13" s="23" t="s">
        <v>104</v>
      </c>
      <c r="F13" s="12"/>
      <c r="G13" s="12"/>
    </row>
    <row r="14" customFormat="false" ht="15" hidden="false" customHeight="false" outlineLevel="0" collapsed="false">
      <c r="A14" s="23" t="s">
        <v>129</v>
      </c>
      <c r="B14" s="23" t="s">
        <v>130</v>
      </c>
      <c r="C14" s="23" t="s">
        <v>131</v>
      </c>
      <c r="D14" s="23" t="s">
        <v>132</v>
      </c>
      <c r="E14" s="23" t="s">
        <v>104</v>
      </c>
      <c r="F14" s="12"/>
      <c r="G14" s="12"/>
    </row>
    <row r="15" customFormat="false" ht="23.85" hidden="false" customHeight="false" outlineLevel="0" collapsed="false">
      <c r="A15" s="23" t="s">
        <v>133</v>
      </c>
      <c r="B15" s="23" t="s">
        <v>134</v>
      </c>
      <c r="C15" s="23" t="s">
        <v>135</v>
      </c>
      <c r="D15" s="23" t="s">
        <v>136</v>
      </c>
      <c r="E15" s="23" t="s">
        <v>133</v>
      </c>
      <c r="F15" s="12"/>
      <c r="G15" s="12"/>
    </row>
    <row r="16" customFormat="false" ht="15" hidden="false" customHeight="false" outlineLevel="0" collapsed="false">
      <c r="A16" s="23" t="s">
        <v>133</v>
      </c>
      <c r="B16" s="23" t="s">
        <v>137</v>
      </c>
      <c r="C16" s="23" t="s">
        <v>138</v>
      </c>
      <c r="D16" s="23" t="s">
        <v>139</v>
      </c>
      <c r="E16" s="23" t="s">
        <v>133</v>
      </c>
      <c r="F16" s="12"/>
      <c r="G16" s="12"/>
    </row>
    <row r="17" customFormat="false" ht="15" hidden="false" customHeight="false" outlineLevel="0" collapsed="false">
      <c r="A17" s="23" t="s">
        <v>140</v>
      </c>
      <c r="B17" s="23" t="s">
        <v>141</v>
      </c>
      <c r="C17" s="23" t="s">
        <v>142</v>
      </c>
      <c r="D17" s="23" t="s">
        <v>143</v>
      </c>
      <c r="E17" s="23" t="s">
        <v>140</v>
      </c>
      <c r="F17" s="12"/>
      <c r="G17" s="12"/>
    </row>
    <row r="18" customFormat="false" ht="23.85" hidden="false" customHeight="false" outlineLevel="0" collapsed="false">
      <c r="A18" s="23" t="s">
        <v>140</v>
      </c>
      <c r="B18" s="23" t="s">
        <v>144</v>
      </c>
      <c r="C18" s="23" t="s">
        <v>145</v>
      </c>
      <c r="D18" s="23" t="s">
        <v>146</v>
      </c>
      <c r="E18" s="23" t="s">
        <v>140</v>
      </c>
      <c r="F18" s="12"/>
      <c r="G18" s="12"/>
    </row>
    <row r="19" customFormat="false" ht="23.85" hidden="false" customHeight="false" outlineLevel="0" collapsed="false">
      <c r="A19" s="23" t="s">
        <v>140</v>
      </c>
      <c r="B19" s="23" t="s">
        <v>147</v>
      </c>
      <c r="C19" s="23" t="s">
        <v>148</v>
      </c>
      <c r="D19" s="23" t="s">
        <v>149</v>
      </c>
      <c r="E19" s="23" t="s">
        <v>140</v>
      </c>
      <c r="F19" s="12"/>
      <c r="G19" s="12"/>
    </row>
    <row r="20" customFormat="false" ht="15" hidden="false" customHeight="false" outlineLevel="0" collapsed="false">
      <c r="A20" s="23" t="s">
        <v>140</v>
      </c>
      <c r="B20" s="23" t="s">
        <v>150</v>
      </c>
      <c r="C20" s="23" t="s">
        <v>151</v>
      </c>
      <c r="D20" s="23" t="s">
        <v>152</v>
      </c>
      <c r="E20" s="23" t="s">
        <v>140</v>
      </c>
      <c r="F20" s="12"/>
      <c r="G20" s="12"/>
    </row>
    <row r="21" customFormat="false" ht="23.85" hidden="false" customHeight="false" outlineLevel="0" collapsed="false">
      <c r="A21" s="23" t="s">
        <v>153</v>
      </c>
      <c r="B21" s="23" t="s">
        <v>154</v>
      </c>
      <c r="C21" s="23" t="s">
        <v>155</v>
      </c>
      <c r="D21" s="23" t="s">
        <v>156</v>
      </c>
      <c r="E21" s="23" t="s">
        <v>153</v>
      </c>
      <c r="F21" s="12"/>
      <c r="G21" s="12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12"/>
      <c r="G22" s="12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12"/>
      <c r="G23" s="12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12"/>
      <c r="G24" s="12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12"/>
      <c r="G25" s="12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12"/>
      <c r="G26" s="12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12"/>
      <c r="G27" s="12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12"/>
      <c r="G28" s="12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12"/>
      <c r="G29" s="12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12"/>
      <c r="G30" s="12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12"/>
      <c r="G31" s="12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31" type="list">
      <formula1>"Хочу,Читаю,Прочитал 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2026-10-30T17:02:26Z</dcterms:created>
  <dc:creator>openpyxl</dc:creator>
  <dc:description/>
  <dc:language>en-US</dc:language>
  <cp:lastModifiedBy/>
  <dcterms:modified xsi:type="dcterms:W3CDTF">2026-10-30T17:02:26Z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